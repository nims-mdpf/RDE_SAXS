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wsl.localhost\Ubuntu\home\kawagishi-yuya\共通資材構築\saxs\docs\requirement_analysis\"/>
    </mc:Choice>
  </mc:AlternateContent>
  <xr:revisionPtr revIDLastSave="0" documentId="13_ncr:1_{D4BD990D-AA99-4096-B420-930C4BED0E5A}" xr6:coauthVersionLast="47" xr6:coauthVersionMax="47" xr10:uidLastSave="{00000000-0000-0000-0000-000000000000}"/>
  <bookViews>
    <workbookView xWindow="-110" yWindow="-110" windowWidth="19420" windowHeight="10300" firstSheet="4" activeTab="6" xr2:uid="{00000000-000D-0000-FFFF-FFFF00000000}"/>
  </bookViews>
  <sheets>
    <sheet name="要件定義（手入力 メタデータ項目リスト）_bak" sheetId="15" state="hidden" r:id="rId1"/>
    <sheet name="要件定義（構造化 メタデータ項目リスト）_bak" sheetId="10" state="hidden" r:id="rId2"/>
    <sheet name="要件定義（手入力 メタデータ項目リスト）" sheetId="17" r:id="rId3"/>
    <sheet name="要件定義（構造化 メタデータ項目リスト）" sheetId="18" r:id="rId4"/>
    <sheet name="要件定義（構造化詳細）" sheetId="21" r:id="rId5"/>
    <sheet name="要件定義（設定ファイル）" sheetId="22" r:id="rId6"/>
    <sheet name="改版履歴" sheetId="16" r:id="rId7"/>
  </sheets>
  <externalReferences>
    <externalReference r:id="rId8"/>
    <externalReference r:id="rId9"/>
    <externalReference r:id="rId10"/>
    <externalReference r:id="rId11"/>
    <externalReference r:id="rId12"/>
    <externalReference r:id="rId13"/>
  </externalReferences>
  <definedNames>
    <definedName name="cell" localSheetId="4">[1]Sheet2!$B$2:$B$3</definedName>
    <definedName name="cell">[2]Sheet2!$B$2:$B$3</definedName>
    <definedName name="ComputationalMethods" localSheetId="4">'[3]Computational methods'!$B$3:$B$20</definedName>
    <definedName name="ComputationalMethods">'[4]Computational methods'!$B$3:$B$20</definedName>
    <definedName name="data_origin" localSheetId="4">'[3]data origin'!$B$2:$B$6</definedName>
    <definedName name="data_origin">'[4]data origin'!$B$2:$B$6</definedName>
    <definedName name="DisclosureCategory" localSheetId="4">[3]mandatory_item!$C$54:$C$57</definedName>
    <definedName name="DisclosureCategory">[4]mandatory_item!$C$54:$C$57</definedName>
    <definedName name="measurement_processing_category" localSheetId="4">'[3]Characterization&amp;Process'!$B$27:$AD$27</definedName>
    <definedName name="measurement_processing_category">'[4]Characterization&amp;Process'!$B$27:$AD$27</definedName>
    <definedName name="ProcessingEnvironment" localSheetId="4">'[3]Synthesis and processing'!$F$112:$F$120</definedName>
    <definedName name="ProcessingEnvironment">'[4]Synthesis and processing'!$F$112:$F$120</definedName>
    <definedName name="PropertiesAddressed" localSheetId="4">'[3]Properties addressed'!$I$1:$X$1</definedName>
    <definedName name="PropertiesAddressed">'[4]Properties addressed'!$I$1:$X$1</definedName>
    <definedName name="RDE利用の目的" localSheetId="4">#REF!</definedName>
    <definedName name="RDE利用の目的">#REF!</definedName>
    <definedName name="RDE利用の目的２" localSheetId="4">#REF!</definedName>
    <definedName name="RDE利用の目的２">#REF!</definedName>
    <definedName name="SynthesisProcessing" localSheetId="4">'[3]Synthesis and processing'!$I$1:$T$1</definedName>
    <definedName name="SynthesisProcessing">'[4]Synthesis and processing'!$I$1:$T$1</definedName>
    <definedName name="技術分類" localSheetId="4">'[5]Characterization methods'!$J$24:$Z$24</definedName>
    <definedName name="技術分類">'[6]Characterization methods'!$J$24:$Z$24</definedName>
    <definedName name="計算手法" localSheetId="4">'[3]Computational methods'!$E$3:$E$20</definedName>
    <definedName name="計算手法">'[4]Computational methods'!$E$3:$E$20</definedName>
    <definedName name="計測技術分類" localSheetId="4">'[5]Characterization methods'!$J$24:$Z$24</definedName>
    <definedName name="計測技術分類">'[6]Characterization methods'!$J$24:$Z$24</definedName>
    <definedName name="構造的特徴" localSheetId="4">'[5]Structural features'!$I$25:$Q$25</definedName>
    <definedName name="構造的特徴">'[6]Structural features'!$I$25:$Q$25</definedName>
    <definedName name="合成・プロセス" localSheetId="4">'[3]Synthesis and processing'!$I$22:$T$22</definedName>
    <definedName name="合成・プロセス">'[4]Synthesis and processing'!$I$22:$T$22</definedName>
    <definedName name="処理環境" localSheetId="4">'[3]Synthesis and processing'!$G$112:$G$120</definedName>
    <definedName name="処理環境">'[4]Synthesis and processing'!$G$112:$G$120</definedName>
    <definedName name="測定環境" localSheetId="4">'[5]Characterization methods'!$G$118:$G$126</definedName>
    <definedName name="測定環境">'[6]Characterization methods'!$G$118:$G$126</definedName>
    <definedName name="特徴的性質" localSheetId="4">'[3]Properties addressed'!$I$28:$X$28</definedName>
    <definedName name="特徴的性質">'[4]Properties addressed'!$I$28:$X$28</definedName>
    <definedName name="物質タイプ" localSheetId="4">'[5]Material types'!$J$17:$T$17</definedName>
    <definedName name="物質タイプ">'[6]Material types'!$J$17:$T$17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7" i="17" l="1"/>
  <c r="C76" i="17"/>
  <c r="C75" i="17"/>
  <c r="C74" i="17"/>
  <c r="C70" i="17"/>
  <c r="C69" i="17"/>
  <c r="C68" i="17"/>
  <c r="C67" i="17"/>
  <c r="C66" i="17"/>
  <c r="C65" i="17"/>
  <c r="C64" i="17"/>
  <c r="C63" i="17"/>
  <c r="C62" i="17"/>
  <c r="C61" i="17"/>
  <c r="C60" i="17"/>
  <c r="C59" i="17"/>
  <c r="C58" i="17"/>
  <c r="C57" i="17"/>
  <c r="C56" i="17"/>
  <c r="C55" i="17"/>
  <c r="C54" i="17"/>
  <c r="C53" i="17"/>
  <c r="C52" i="17"/>
  <c r="C51" i="17"/>
  <c r="C50" i="17"/>
  <c r="C18" i="17"/>
  <c r="C25" i="17"/>
  <c r="C24" i="17"/>
  <c r="C23" i="17"/>
  <c r="C22" i="17"/>
  <c r="C21" i="17"/>
  <c r="C20" i="17"/>
  <c r="C19" i="17"/>
  <c r="C37" i="17" l="1"/>
  <c r="C38" i="17"/>
  <c r="C44" i="17" l="1"/>
  <c r="C43" i="17"/>
  <c r="C42" i="17"/>
  <c r="C41" i="17"/>
  <c r="C40" i="17"/>
  <c r="C39" i="17"/>
  <c r="C36" i="17"/>
  <c r="C35" i="17"/>
  <c r="C34" i="17"/>
  <c r="C33" i="17"/>
  <c r="C17" i="17"/>
  <c r="C16" i="17"/>
  <c r="C15" i="17"/>
  <c r="C14" i="17"/>
  <c r="C13" i="17"/>
  <c r="C12" i="17"/>
  <c r="C11" i="17"/>
  <c r="C10" i="17"/>
  <c r="C9" i="17"/>
  <c r="C8" i="17"/>
  <c r="C7" i="17"/>
  <c r="C6" i="17"/>
  <c r="C5" i="17"/>
  <c r="C49" i="15"/>
  <c r="C48" i="15"/>
  <c r="C47" i="15"/>
  <c r="C46" i="15"/>
  <c r="C45" i="15"/>
  <c r="C44" i="15"/>
  <c r="C43" i="15"/>
  <c r="C42" i="15"/>
  <c r="C41" i="15"/>
  <c r="C40" i="15"/>
  <c r="C39" i="15"/>
  <c r="C38" i="15"/>
  <c r="C24" i="15"/>
  <c r="C23" i="15"/>
  <c r="C22" i="15"/>
  <c r="C21" i="15"/>
  <c r="C20" i="15"/>
  <c r="C19" i="15"/>
  <c r="C18" i="15"/>
  <c r="C17" i="15" l="1"/>
  <c r="C16" i="15"/>
  <c r="C15" i="15"/>
  <c r="C14" i="15"/>
  <c r="C13" i="15"/>
  <c r="C12" i="15"/>
  <c r="C11" i="15"/>
  <c r="C10" i="15" l="1"/>
  <c r="C9" i="15"/>
  <c r="C8" i="15"/>
  <c r="C7" i="15"/>
  <c r="C6" i="15"/>
  <c r="C5"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tc={8EC9289B-E89B-C54A-AF5E-A9CAB7783195}</author>
    <author>tc={296B8175-6133-1340-B050-FB33F3C0CC15}</author>
  </authors>
  <commentList>
    <comment ref="F26" authorId="0" shapeId="0" xr:uid="{8EC9289B-E89B-C54A-AF5E-A9CAB778319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「スパイク除去/spike removal」などとするのが良いでしょう。（特異点除去という言葉は物理学上かなり特定の意味を持つ言葉で、今回の処理はそれに当たらないため）
返信:
OKです。</t>
      </text>
    </comment>
    <comment ref="F27" authorId="1" shapeId="0" xr:uid="{296B8175-6133-1340-B050-FB33F3C0CC1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「取得」というか、「特出し表示」？　取得でも良いですが、一応議論したく</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tc={AD545E9C-6EAD-7444-868D-1DA9DDED3D54}</author>
    <author>tc={14C21C5E-7A44-AA48-B84A-2B7A0F5A94D8}</author>
    <author>tc={C11FE378-AC52-5844-93E3-10FA1B4B2ECC}</author>
    <author>tc={EFCB1198-F542-704F-9335-CDD4A0F5BC07}</author>
  </authors>
  <commentList>
    <comment ref="L27" authorId="0" shapeId="0" xr:uid="{AD545E9C-6EAD-7444-868D-1DA9DDED3D54}">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数値型に固執させるなら、サンプル幅・サンプル長さ・サンプル厚さの3項目に分ける必要が出てきますか？
返信:
はい、そう思います。DX的にそうするのか、現場の実情に合わせてこのようにするのか、コメント欄（SAMPLE_COMMENT）に特別なルールを設けてSAMPLE_SIZEやSAMPLE_VOLUMEに計算してマッピングするか、などが考えられると思います。
送り状にこの3つの項目を持たせようと思っていますが、それとの関係も検討必要です。
DXにこだわりすぎて、実情に合わないことをやっても仕方ないと思いますので悩みます。</t>
      </text>
    </comment>
    <comment ref="F36" authorId="1" shapeId="0" xr:uid="{14C21C5E-7A44-AA48-B84A-2B7A0F5A94D8}">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"coercivity" のようなちゃんとした英語名ではなく、記号を英語名扱いで格納するということでいいなら、これでOKです。この下のセルも同様
返信:
確かにそうですね。基本的に略語は使用しない、という原則で考えていますが、磁性分野では常識な語彙なのでOKと考えるか、ということですね。</t>
      </text>
    </comment>
    <comment ref="H37" authorId="2" shapeId="0" xr:uid="{C11FE378-AC52-5844-93E3-10FA1B4B2EC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emuは標準単位系ではないので、高橋さん用途には良いとしても、汎用としては別の単位に換算すべきな気がする</t>
      </text>
    </comment>
    <comment ref="F39" authorId="3" shapeId="0" xr:uid="{EFCB1198-F542-704F-9335-CDD4A0F5BC07}">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Br per volume か？
返信:
10/3のメールで以下のコメントあり。
磯上さんは膜厚（高さ）も取得済みなので「磁束密度/体積」を特徴量として記録する。
単位は10^9*emu/cm^3　→　Gemu/cm^3 でしょうか?
はいおっしゃる通りです．
先日の磯上さんとの打ち合わせの中で、「磁束密度/体積」が出てきましたが、「残
留磁化(または飽和磁化)／体積」との関係がわからなくなってしまいました。
「磁束密度/体積」は「飽和磁化／体積」のことです．
返信:
10/3に
「Bs/体積」
と連絡あり。
返信:
高橋さんのメタは
「残留磁化x膜厚(memu):3.92e-03」
となっており、残留磁化はBrを使用しています。整理必要かもしれません。</t>
      </text>
    </comment>
  </commentList>
</comments>
</file>

<file path=xl/sharedStrings.xml><?xml version="1.0" encoding="utf-8"?>
<sst xmlns="http://schemas.openxmlformats.org/spreadsheetml/2006/main" count="1737" uniqueCount="597">
  <si>
    <t>仕様として固定されている項目</t>
    <rPh sb="0" eb="2">
      <t>シヨウ</t>
    </rPh>
    <rPh sb="5" eb="7">
      <t>コテイ</t>
    </rPh>
    <rPh sb="12" eb="14">
      <t>コウモク</t>
    </rPh>
    <phoneticPr fontId="2"/>
  </si>
  <si>
    <t>rde2name</t>
    <phoneticPr fontId="2"/>
  </si>
  <si>
    <t>ja</t>
    <phoneticPr fontId="2"/>
  </si>
  <si>
    <t>en</t>
    <phoneticPr fontId="2"/>
  </si>
  <si>
    <t>type</t>
    <phoneticPr fontId="2"/>
  </si>
  <si>
    <t>unit</t>
    <phoneticPr fontId="2"/>
  </si>
  <si>
    <t>desc</t>
    <phoneticPr fontId="2"/>
  </si>
  <si>
    <t>value</t>
    <phoneticPr fontId="2"/>
  </si>
  <si>
    <t>RDE2.0 パラメータ名([0-9],[a-z],ドット、ハイフンのみ)
※RDE2.0英語名をlower_snake_case形式にする。
※システム記入欄</t>
    <rPh sb="12" eb="13">
      <t>メイ</t>
    </rPh>
    <rPh sb="45" eb="48">
      <t>エイゴメイ</t>
    </rPh>
    <rPh sb="65" eb="67">
      <t>ケイシキ</t>
    </rPh>
    <rPh sb="77" eb="80">
      <t>キニュウラン</t>
    </rPh>
    <phoneticPr fontId="2"/>
  </si>
  <si>
    <t>必須</t>
    <rPh sb="0" eb="2">
      <t>ヒッス</t>
    </rPh>
    <phoneticPr fontId="2"/>
  </si>
  <si>
    <t>タクソノミー
※階層を数値で記入。</t>
    <rPh sb="8" eb="10">
      <t>カイソウ</t>
    </rPh>
    <rPh sb="11" eb="13">
      <t>スウチ</t>
    </rPh>
    <rPh sb="14" eb="16">
      <t>キニュウ</t>
    </rPh>
    <phoneticPr fontId="2"/>
  </si>
  <si>
    <t>RDE2.0 日本語名</t>
    <rPh sb="7" eb="11">
      <t>ニホンゴメイ</t>
    </rPh>
    <phoneticPr fontId="2"/>
  </si>
  <si>
    <t>RDE2.0 英語名</t>
    <rPh sb="7" eb="10">
      <t>エイゴメイ</t>
    </rPh>
    <phoneticPr fontId="2"/>
  </si>
  <si>
    <t>type
※以下から選択
string/
string[date]/
number</t>
    <phoneticPr fontId="2"/>
  </si>
  <si>
    <t>単位</t>
    <phoneticPr fontId="2"/>
  </si>
  <si>
    <t>説明</t>
    <rPh sb="0" eb="2">
      <t>セツメイ</t>
    </rPh>
    <phoneticPr fontId="2"/>
  </si>
  <si>
    <t xml:space="preserve"> condition_1
※値の例を記入</t>
    <rPh sb="14" eb="15">
      <t>アタイ</t>
    </rPh>
    <rPh sb="16" eb="17">
      <t>レイ</t>
    </rPh>
    <rPh sb="18" eb="20">
      <t>キニュウ</t>
    </rPh>
    <phoneticPr fontId="2"/>
  </si>
  <si>
    <t>基本情報</t>
    <rPh sb="0" eb="4">
      <t>キホンジョウホウ</t>
    </rPh>
    <phoneticPr fontId="2"/>
  </si>
  <si>
    <t>o</t>
    <phoneticPr fontId="2"/>
  </si>
  <si>
    <t>装置</t>
    <rPh sb="0" eb="2">
      <t>ソウチ</t>
    </rPh>
    <phoneticPr fontId="2"/>
  </si>
  <si>
    <t>Instrument</t>
    <phoneticPr fontId="2"/>
  </si>
  <si>
    <t>string</t>
  </si>
  <si>
    <t>データ投入者(所属)</t>
    <phoneticPr fontId="2"/>
  </si>
  <si>
    <t xml:space="preserve">      </t>
    <phoneticPr fontId="2"/>
  </si>
  <si>
    <t>ログインしてる人で固定</t>
    <rPh sb="7" eb="8">
      <t>ヒト</t>
    </rPh>
    <rPh sb="9" eb="11">
      <t>コテイ</t>
    </rPh>
    <phoneticPr fontId="2"/>
  </si>
  <si>
    <t>データ所有者(所属)</t>
    <phoneticPr fontId="2"/>
  </si>
  <si>
    <t>Data Owner (Affiliation)</t>
    <phoneticPr fontId="2"/>
  </si>
  <si>
    <t>string</t>
    <phoneticPr fontId="2"/>
  </si>
  <si>
    <t>研究グループに登録されているメンバー</t>
    <rPh sb="0" eb="2">
      <t>ケンキュウ</t>
    </rPh>
    <rPh sb="7" eb="9">
      <t>トウロク</t>
    </rPh>
    <phoneticPr fontId="2"/>
  </si>
  <si>
    <t>データ名</t>
    <phoneticPr fontId="2"/>
  </si>
  <si>
    <t>Data Name</t>
    <phoneticPr fontId="2"/>
  </si>
  <si>
    <t>※${filename}の場合、登録ファイルをデータ名とする</t>
    <rPh sb="13" eb="15">
      <t>バアイ</t>
    </rPh>
    <rPh sb="16" eb="18">
      <t>トウロク</t>
    </rPh>
    <rPh sb="26" eb="27">
      <t>メイ</t>
    </rPh>
    <phoneticPr fontId="2"/>
  </si>
  <si>
    <t>実験ID</t>
    <phoneticPr fontId="2"/>
  </si>
  <si>
    <t>Experiment ID</t>
    <phoneticPr fontId="2"/>
  </si>
  <si>
    <t>説明</t>
    <phoneticPr fontId="2"/>
  </si>
  <si>
    <t>Description</t>
    <phoneticPr fontId="2"/>
  </si>
  <si>
    <t>sample</t>
    <phoneticPr fontId="2"/>
  </si>
  <si>
    <t>試料情報</t>
    <rPh sb="0" eb="4">
      <t>シリョウジョウホウ</t>
    </rPh>
    <phoneticPr fontId="2"/>
  </si>
  <si>
    <t>o</t>
  </si>
  <si>
    <t>試料名(ローカルID)</t>
  </si>
  <si>
    <t>Sample name (Local ID)</t>
    <phoneticPr fontId="2"/>
  </si>
  <si>
    <t>化学式・組成式・分子式など</t>
  </si>
  <si>
    <t>Chemical formula etc.</t>
  </si>
  <si>
    <t>試料管理者(所属)</t>
    <phoneticPr fontId="2"/>
  </si>
  <si>
    <t>Administrator (Affiliation)</t>
  </si>
  <si>
    <t>参考URL</t>
  </si>
  <si>
    <t>Reference URL</t>
  </si>
  <si>
    <t>関連試料</t>
  </si>
  <si>
    <t>Related samples</t>
  </si>
  <si>
    <t>タグ</t>
  </si>
  <si>
    <t>Tags</t>
  </si>
  <si>
    <t>試料の説明</t>
  </si>
  <si>
    <t xml:space="preserve">Description </t>
  </si>
  <si>
    <t>一般名称</t>
    <rPh sb="0" eb="4">
      <t>イッパンメイショウ</t>
    </rPh>
    <phoneticPr fontId="2"/>
  </si>
  <si>
    <t>General name</t>
  </si>
  <si>
    <t>CAS番号</t>
    <phoneticPr fontId="2"/>
  </si>
  <si>
    <t>CAS Number</t>
  </si>
  <si>
    <t>結晶構造</t>
    <phoneticPr fontId="2"/>
  </si>
  <si>
    <t>Crystal structure</t>
  </si>
  <si>
    <t>試料形状</t>
    <phoneticPr fontId="2"/>
  </si>
  <si>
    <t>Sample shape</t>
  </si>
  <si>
    <t>試料購入日</t>
    <phoneticPr fontId="2"/>
  </si>
  <si>
    <t>Purchase date</t>
  </si>
  <si>
    <t>購入元</t>
    <phoneticPr fontId="2"/>
  </si>
  <si>
    <t>Supplier</t>
  </si>
  <si>
    <t>ロット番号、製造番号など</t>
    <phoneticPr fontId="2"/>
  </si>
  <si>
    <t>Lot number or product number etc</t>
  </si>
  <si>
    <t>固有情報</t>
    <rPh sb="0" eb="4">
      <t>コユウジョウホウ</t>
    </rPh>
    <phoneticPr fontId="2"/>
  </si>
  <si>
    <t>background_removal</t>
    <phoneticPr fontId="2"/>
  </si>
  <si>
    <t>バックグラウンド除去</t>
    <rPh sb="8" eb="10">
      <t>ジョキョ</t>
    </rPh>
    <phoneticPr fontId="2"/>
  </si>
  <si>
    <t>background removal</t>
    <phoneticPr fontId="2"/>
  </si>
  <si>
    <t>integer</t>
  </si>
  <si>
    <t>boolean</t>
    <phoneticPr fontId="2"/>
  </si>
  <si>
    <t>singularity_removal</t>
    <phoneticPr fontId="2"/>
  </si>
  <si>
    <t>スパイク除去</t>
  </si>
  <si>
    <t>spike removal</t>
  </si>
  <si>
    <t>特徴量取得</t>
    <rPh sb="0" eb="5">
      <t>トクチョウリョウシュトク</t>
    </rPh>
    <phoneticPr fontId="2"/>
  </si>
  <si>
    <t>custom</t>
    <phoneticPr fontId="2"/>
  </si>
  <si>
    <t>key1</t>
    <phoneticPr fontId="2"/>
  </si>
  <si>
    <t>キー1</t>
    <phoneticPr fontId="2"/>
  </si>
  <si>
    <t>key2</t>
    <phoneticPr fontId="2"/>
  </si>
  <si>
    <t>キー2</t>
    <phoneticPr fontId="2"/>
  </si>
  <si>
    <t>key3</t>
    <phoneticPr fontId="2"/>
  </si>
  <si>
    <t>キー3</t>
    <phoneticPr fontId="2"/>
  </si>
  <si>
    <t>key4</t>
    <phoneticPr fontId="2"/>
  </si>
  <si>
    <t>キー4</t>
  </si>
  <si>
    <t>key5</t>
    <phoneticPr fontId="2"/>
  </si>
  <si>
    <t>キー5</t>
  </si>
  <si>
    <t>key6</t>
    <phoneticPr fontId="2"/>
  </si>
  <si>
    <t>キー6</t>
    <phoneticPr fontId="2"/>
  </si>
  <si>
    <t>key7</t>
    <phoneticPr fontId="2"/>
  </si>
  <si>
    <t>キー7</t>
    <phoneticPr fontId="2"/>
  </si>
  <si>
    <t>key8</t>
    <phoneticPr fontId="2"/>
  </si>
  <si>
    <t>キー8</t>
    <phoneticPr fontId="2"/>
  </si>
  <si>
    <t>key9</t>
    <phoneticPr fontId="2"/>
  </si>
  <si>
    <t>キー9</t>
    <phoneticPr fontId="2"/>
  </si>
  <si>
    <t>key10</t>
    <phoneticPr fontId="2"/>
  </si>
  <si>
    <t>キー10</t>
    <phoneticPr fontId="2"/>
  </si>
  <si>
    <t>共通メタ</t>
    <rPh sb="0" eb="2">
      <t>キョウツウ</t>
    </rPh>
    <phoneticPr fontId="2"/>
  </si>
  <si>
    <t>登録データタイプ</t>
    <phoneticPr fontId="2"/>
  </si>
  <si>
    <t>Data type</t>
    <phoneticPr fontId="2"/>
  </si>
  <si>
    <t>default値「MPMS」</t>
    <rPh sb="7" eb="8">
      <t>チ</t>
    </rPh>
    <phoneticPr fontId="2"/>
  </si>
  <si>
    <t>データの起源</t>
  </si>
  <si>
    <t>Data Origin</t>
  </si>
  <si>
    <t>default値「experiments」</t>
    <rPh sb="7" eb="8">
      <t>チ</t>
    </rPh>
    <phoneticPr fontId="2"/>
  </si>
  <si>
    <t>技術カテゴリー</t>
  </si>
  <si>
    <t>Technical Category</t>
  </si>
  <si>
    <t>default値「measurement」</t>
    <rPh sb="7" eb="8">
      <t>チ</t>
    </rPh>
    <phoneticPr fontId="2"/>
  </si>
  <si>
    <t>参考文献</t>
  </si>
  <si>
    <t>Reference</t>
  </si>
  <si>
    <t>計測メタ</t>
    <rPh sb="0" eb="2">
      <t>ケイソク</t>
    </rPh>
    <phoneticPr fontId="2"/>
  </si>
  <si>
    <t>計測法カテゴリー</t>
  </si>
  <si>
    <t>Method category</t>
  </si>
  <si>
    <t>default値「磁性」</t>
    <rPh sb="7" eb="8">
      <t>チ</t>
    </rPh>
    <rPh sb="9" eb="11">
      <t>ジセイ</t>
    </rPh>
    <phoneticPr fontId="2"/>
  </si>
  <si>
    <t>計測法サブカテゴリー</t>
  </si>
  <si>
    <t>Method sub-category</t>
  </si>
  <si>
    <t>default値「薄膜」</t>
    <rPh sb="7" eb="8">
      <t>チ</t>
    </rPh>
    <rPh sb="9" eb="11">
      <t>ハクマク</t>
    </rPh>
    <phoneticPr fontId="2"/>
  </si>
  <si>
    <t>※選択肢として[薄膜|バルク]のようにするか？要検討</t>
    <rPh sb="1" eb="4">
      <t>センタクシ</t>
    </rPh>
    <rPh sb="8" eb="10">
      <t>ハクマク</t>
    </rPh>
    <rPh sb="23" eb="26">
      <t>ヨウケントウ</t>
    </rPh>
    <phoneticPr fontId="2"/>
  </si>
  <si>
    <t>分析分野</t>
  </si>
  <si>
    <t>Analysis field</t>
  </si>
  <si>
    <t>default値「構造、微細組織、磁気特性」</t>
    <rPh sb="7" eb="8">
      <t>チ</t>
    </rPh>
    <rPh sb="9" eb="11">
      <t>コウゾウ</t>
    </rPh>
    <rPh sb="12" eb="14">
      <t>ビサイ</t>
    </rPh>
    <rPh sb="14" eb="16">
      <t>ソシキ</t>
    </rPh>
    <rPh sb="17" eb="19">
      <t>ジキ</t>
    </rPh>
    <rPh sb="19" eb="21">
      <t>トクセイ</t>
    </rPh>
    <phoneticPr fontId="2"/>
  </si>
  <si>
    <t>測定環境</t>
  </si>
  <si>
    <t>Measurement environment</t>
  </si>
  <si>
    <t>対象準位_遷移_構造</t>
  </si>
  <si>
    <t>Energy Level_Transition_Structure etc. of interest</t>
  </si>
  <si>
    <t>※FILEOPENTIMEから取得するか？要検討</t>
    <rPh sb="15" eb="17">
      <t>シュトク</t>
    </rPh>
    <rPh sb="21" eb="24">
      <t>ヨウケントウ</t>
    </rPh>
    <phoneticPr fontId="2"/>
  </si>
  <si>
    <t>分析年月日</t>
  </si>
  <si>
    <t>Measured date</t>
  </si>
  <si>
    <t>string[date]</t>
  </si>
  <si>
    <t>標準手順</t>
  </si>
  <si>
    <t>Standardized procedure</t>
  </si>
  <si>
    <t>装置設置場所</t>
  </si>
  <si>
    <t>Instrumentation site</t>
  </si>
  <si>
    <t>category</t>
    <phoneticPr fontId="2"/>
  </si>
  <si>
    <t>instrument</t>
    <phoneticPr fontId="2"/>
  </si>
  <si>
    <t>RDE2.0 パラメータ名([0-9],[a-z],ドット、ハイフンのみ)
※RDE2.0英語名をlower_snake_case形式にする。
※システム記入欄</t>
  </si>
  <si>
    <t>装置出力</t>
    <rPh sb="0" eb="2">
      <t>ソウティ</t>
    </rPh>
    <phoneticPr fontId="2"/>
  </si>
  <si>
    <t>タクソノミー
※階層を
数値で記入。</t>
    <phoneticPr fontId="2"/>
  </si>
  <si>
    <t>RDE2.0 英語名</t>
  </si>
  <si>
    <t>備考</t>
    <rPh sb="0" eb="2">
      <t>ビコウ</t>
    </rPh>
    <phoneticPr fontId="2"/>
  </si>
  <si>
    <t>主要パラメータ</t>
    <rPh sb="0" eb="2">
      <t>シュヨウ</t>
    </rPh>
    <phoneticPr fontId="2"/>
  </si>
  <si>
    <t>appname</t>
  </si>
  <si>
    <t>APPNAME</t>
  </si>
  <si>
    <t>byapp</t>
  </si>
  <si>
    <t>BYAPP</t>
  </si>
  <si>
    <t>coil_serial_number</t>
  </si>
  <si>
    <t>COIL_SERIAL_NUMBER</t>
  </si>
  <si>
    <t>コイルシリアル番号</t>
  </si>
  <si>
    <t>comment</t>
  </si>
  <si>
    <t>COMMENT</t>
  </si>
  <si>
    <t>コメント</t>
  </si>
  <si>
    <t>fieldgroup_dc</t>
  </si>
  <si>
    <t>FIELDGROUP_DC</t>
  </si>
  <si>
    <t>磁場グループ_DC</t>
  </si>
  <si>
    <t>fieldgroup_vsm</t>
  </si>
  <si>
    <t>FIELDGROUP_VSM</t>
  </si>
  <si>
    <t>磁場グループ_VSM</t>
  </si>
  <si>
    <t>fileopentime</t>
  </si>
  <si>
    <t>FILEOPENTIME</t>
  </si>
  <si>
    <t>ファイルを開いた時間</t>
  </si>
  <si>
    <t>moment_units</t>
  </si>
  <si>
    <t>MOMENT_UNITS</t>
  </si>
  <si>
    <t>磁化の単位</t>
  </si>
  <si>
    <t>emu</t>
  </si>
  <si>
    <t>motor_hw_version</t>
  </si>
  <si>
    <t>MOTOR_HW_VERSION</t>
  </si>
  <si>
    <t>モーターハードウエアのバージョン</t>
  </si>
  <si>
    <t>motor_module_name</t>
  </si>
  <si>
    <t>MOTOR_MODULE_NAME</t>
  </si>
  <si>
    <t>モーターモジュールの名前</t>
  </si>
  <si>
    <t>motor_serial_number</t>
  </si>
  <si>
    <t>MOTOR_SERIAL_NUMBER</t>
  </si>
  <si>
    <t>モーターのシリアル番号</t>
  </si>
  <si>
    <t>motor_software_version</t>
  </si>
  <si>
    <t>MOTOR_SOFTWARE_VERSION</t>
  </si>
  <si>
    <t>モーターソフトウエアのバージョン</t>
  </si>
  <si>
    <t>oven_hw_version</t>
  </si>
  <si>
    <t>OVEN_HW_VERSION</t>
  </si>
  <si>
    <t>オーブンハードウエアのバージョン</t>
  </si>
  <si>
    <t>oven_module_name</t>
  </si>
  <si>
    <t>OVEN_MODULE_NAME</t>
  </si>
  <si>
    <t>オーブンモジュールの名前</t>
  </si>
  <si>
    <t>oven_serial_number</t>
  </si>
  <si>
    <t>OVEN_SERIAL_NUMBER</t>
  </si>
  <si>
    <t>オーブンのシリアル番号</t>
  </si>
  <si>
    <t>oven_software_version</t>
  </si>
  <si>
    <t>OVEN_SOFTWARE_VERSION</t>
  </si>
  <si>
    <t>オーブンソフトウエアのバージョン</t>
  </si>
  <si>
    <t>sample_comment</t>
  </si>
  <si>
    <t>SAMPLE_COMMENT</t>
  </si>
  <si>
    <t>サンプルコメント</t>
  </si>
  <si>
    <t>sample_holder</t>
  </si>
  <si>
    <t>SAMPLE_HOLDER</t>
  </si>
  <si>
    <t>サンプルホルダー</t>
  </si>
  <si>
    <t>sample_holder_detail</t>
  </si>
  <si>
    <t>SAMPLE_HOLDER_DETAIL</t>
  </si>
  <si>
    <t>サンプルホルダー詳細</t>
  </si>
  <si>
    <t>sample_mass</t>
  </si>
  <si>
    <t>SAMPLE_MASS</t>
  </si>
  <si>
    <t>サンプル重量</t>
    <phoneticPr fontId="2"/>
  </si>
  <si>
    <t>number</t>
  </si>
  <si>
    <t>mg</t>
  </si>
  <si>
    <t>sample_material</t>
  </si>
  <si>
    <t>SAMPLE_MATERIAL</t>
  </si>
  <si>
    <t>サンプルの材質</t>
  </si>
  <si>
    <t>sample_molecular_weight</t>
  </si>
  <si>
    <t>SAMPLE_MOLECULAR_WEIGHT</t>
  </si>
  <si>
    <t>サンプルのモル量</t>
    <phoneticPr fontId="2"/>
  </si>
  <si>
    <t>sample_offset</t>
  </si>
  <si>
    <t>SAMPLE_OFFSET</t>
  </si>
  <si>
    <t>サンプルオフセット</t>
    <phoneticPr fontId="2"/>
  </si>
  <si>
    <t>※単位あり。参考：https://www.omu.ac.jp/sci/phys-mpms3/assets/%E8%AC%9B%E7%BF%92%E4%BC%9A%E7%94%A8%E3%83%9E%E3%83%8B%E3%83%A5%E3%82%A2%E3%83%AB20190722.pdf</t>
    <rPh sb="1" eb="3">
      <t>タンイ</t>
    </rPh>
    <rPh sb="6" eb="8">
      <t>サンコウ</t>
    </rPh>
    <phoneticPr fontId="2"/>
  </si>
  <si>
    <t>sample_shape</t>
  </si>
  <si>
    <t>SAMPLE_SHAPE</t>
  </si>
  <si>
    <t>サンプル形状</t>
  </si>
  <si>
    <t>sample_size</t>
  </si>
  <si>
    <t>SAMPLE_SIZE</t>
  </si>
  <si>
    <t>サンプルサイズ</t>
    <phoneticPr fontId="2"/>
  </si>
  <si>
    <t>mm^2</t>
  </si>
  <si>
    <t>入力例：2.04*5.39</t>
    <rPh sb="0" eb="2">
      <t>ニュウリョク</t>
    </rPh>
    <rPh sb="2" eb="3">
      <t>レイ</t>
    </rPh>
    <phoneticPr fontId="2"/>
  </si>
  <si>
    <t>※number型なので数値として入れるべき（要検討）</t>
    <rPh sb="7" eb="8">
      <t>ガタ</t>
    </rPh>
    <rPh sb="11" eb="13">
      <t>スウチ</t>
    </rPh>
    <rPh sb="16" eb="17">
      <t>イ</t>
    </rPh>
    <rPh sb="22" eb="25">
      <t>ヨウケントウ</t>
    </rPh>
    <phoneticPr fontId="2"/>
  </si>
  <si>
    <t>sample_volume</t>
  </si>
  <si>
    <t>SAMPLE_VOLUME</t>
  </si>
  <si>
    <t>サンプル体積</t>
    <phoneticPr fontId="2"/>
  </si>
  <si>
    <t>mm^3</t>
  </si>
  <si>
    <t>squid_hw_version</t>
  </si>
  <si>
    <t>SQUID_HW_VERSION</t>
  </si>
  <si>
    <t>SQUIDハードウエアのバージョン</t>
  </si>
  <si>
    <t>squid_module_name</t>
  </si>
  <si>
    <t>SQUID_MODULE_NAME</t>
  </si>
  <si>
    <t>SQUIDモジュール名</t>
  </si>
  <si>
    <t>squid_serial_number</t>
  </si>
  <si>
    <t>SQUID_SERIAL_NUMBER</t>
  </si>
  <si>
    <t>SQUIDシリアル番号</t>
  </si>
  <si>
    <t>squid_software_version</t>
  </si>
  <si>
    <t>SQUID_SOFTWARE_VERSION</t>
  </si>
  <si>
    <t>SQUIDソフトウエアのバージョン</t>
  </si>
  <si>
    <t>startupaxis_x</t>
  </si>
  <si>
    <t>STARTUPAXIS_X</t>
  </si>
  <si>
    <t>測定開始時のX軸</t>
  </si>
  <si>
    <t>startupaxis_y1</t>
  </si>
  <si>
    <t>STARTUPAXIS_Y1</t>
  </si>
  <si>
    <t>測定開始時のY軸</t>
  </si>
  <si>
    <t>time</t>
  </si>
  <si>
    <t>TIME</t>
  </si>
  <si>
    <t>時間</t>
  </si>
  <si>
    <t>hc</t>
  </si>
  <si>
    <t>保磁力</t>
    <phoneticPr fontId="2"/>
  </si>
  <si>
    <t>Hc</t>
  </si>
  <si>
    <t>number</t>
    <phoneticPr fontId="2"/>
  </si>
  <si>
    <t>T</t>
  </si>
  <si>
    <t>値の例：-9.693-03</t>
    <rPh sb="0" eb="1">
      <t>アタイ</t>
    </rPh>
    <rPh sb="2" eb="3">
      <t>レイ</t>
    </rPh>
    <phoneticPr fontId="2"/>
  </si>
  <si>
    <t>br</t>
  </si>
  <si>
    <t>残留磁化</t>
    <rPh sb="0" eb="4">
      <t>ザンリュウジカ</t>
    </rPh>
    <phoneticPr fontId="4"/>
  </si>
  <si>
    <t>Br</t>
  </si>
  <si>
    <t>値の例：1.05e-06</t>
    <phoneticPr fontId="2"/>
  </si>
  <si>
    <t>bs</t>
    <phoneticPr fontId="2"/>
  </si>
  <si>
    <t>磁束密度</t>
    <phoneticPr fontId="2"/>
  </si>
  <si>
    <t>Bs</t>
    <phoneticPr fontId="2"/>
  </si>
  <si>
    <t>値の例：2.47e-05</t>
    <phoneticPr fontId="2"/>
  </si>
  <si>
    <t>残留磁化（体積当たり）</t>
    <rPh sb="0" eb="4">
      <t>ザンリュウジカ</t>
    </rPh>
    <rPh sb="5" eb="8">
      <t>タイセキア</t>
    </rPh>
    <phoneticPr fontId="4"/>
  </si>
  <si>
    <t>?</t>
    <phoneticPr fontId="2"/>
  </si>
  <si>
    <t>計算式：1000*Br/SAMPLE_SIZE</t>
    <rPh sb="0" eb="2">
      <t>ケイサン</t>
    </rPh>
    <rPh sb="2" eb="3">
      <t>シキ</t>
    </rPh>
    <phoneticPr fontId="2"/>
  </si>
  <si>
    <t>条件：SAMPLE_SIZEに値が入っていない場合： 
値を出力しないで正常終了とする。</t>
    <rPh sb="0" eb="2">
      <t>ジョウケン</t>
    </rPh>
    <rPh sb="15" eb="16">
      <t>アタイ</t>
    </rPh>
    <rPh sb="17" eb="18">
      <t>ハイ</t>
    </rPh>
    <rPh sb="23" eb="25">
      <t>バアイ</t>
    </rPh>
    <rPh sb="28" eb="29">
      <t>アタイ</t>
    </rPh>
    <rPh sb="30" eb="32">
      <t>シュツリョク</t>
    </rPh>
    <rPh sb="36" eb="40">
      <t>セイジョウシュウリョウ</t>
    </rPh>
    <phoneticPr fontId="4"/>
  </si>
  <si>
    <t>文書名称：</t>
    <rPh sb="0" eb="2">
      <t>ブンショ</t>
    </rPh>
    <rPh sb="2" eb="4">
      <t>メイショウ</t>
    </rPh>
    <phoneticPr fontId="2"/>
  </si>
  <si>
    <t>※要件定義</t>
    <rPh sb="1" eb="5">
      <t>ヨウケンテイギ</t>
    </rPh>
    <phoneticPr fontId="12"/>
  </si>
  <si>
    <t>日付</t>
    <rPh sb="0" eb="2">
      <t>ヒヅケ</t>
    </rPh>
    <phoneticPr fontId="2"/>
  </si>
  <si>
    <t>作成者</t>
    <rPh sb="0" eb="2">
      <t>サクセイ</t>
    </rPh>
    <rPh sb="2" eb="3">
      <t>シャ</t>
    </rPh>
    <phoneticPr fontId="2"/>
  </si>
  <si>
    <t>シート名</t>
    <phoneticPr fontId="2"/>
  </si>
  <si>
    <t>事由</t>
    <rPh sb="0" eb="2">
      <t>ジユウ</t>
    </rPh>
    <phoneticPr fontId="2"/>
  </si>
  <si>
    <t>特記</t>
    <rPh sb="0" eb="2">
      <t>トッキ</t>
    </rPh>
    <phoneticPr fontId="2"/>
  </si>
  <si>
    <t>新規作成</t>
    <rPh sb="0" eb="4">
      <t>シンキサクセイ</t>
    </rPh>
    <phoneticPr fontId="2"/>
  </si>
  <si>
    <t>キー2</t>
  </si>
  <si>
    <t>key2</t>
  </si>
  <si>
    <t>キー3</t>
  </si>
  <si>
    <t>key3</t>
  </si>
  <si>
    <t>key4</t>
  </si>
  <si>
    <t>key5</t>
  </si>
  <si>
    <t>experiment</t>
    <phoneticPr fontId="2"/>
  </si>
  <si>
    <t>measurement</t>
    <phoneticPr fontId="2"/>
  </si>
  <si>
    <t>ログインしている人で固定</t>
    <rPh sb="8" eb="9">
      <t>ヒト</t>
    </rPh>
    <rPh sb="10" eb="12">
      <t>コテイ</t>
    </rPh>
    <phoneticPr fontId="2"/>
  </si>
  <si>
    <t>手入力</t>
    <rPh sb="0" eb="3">
      <t>テニュウリョク</t>
    </rPh>
    <phoneticPr fontId="2"/>
  </si>
  <si>
    <t>_feature</t>
    <phoneticPr fontId="2"/>
  </si>
  <si>
    <t xml:space="preserve">
登録時に説明欄に転記</t>
    <rPh sb="1" eb="4">
      <t>トウロクジ</t>
    </rPh>
    <rPh sb="5" eb="8">
      <t>セツメイラン</t>
    </rPh>
    <rPh sb="9" eb="11">
      <t>テンキ</t>
    </rPh>
    <phoneticPr fontId="2"/>
  </si>
  <si>
    <t>${filename}</t>
    <phoneticPr fontId="2"/>
  </si>
  <si>
    <t>FILE_COMMENT</t>
  </si>
  <si>
    <t>FILE_MEMO</t>
  </si>
  <si>
    <t>メモ</t>
  </si>
  <si>
    <t>FILE_OPERATOR</t>
  </si>
  <si>
    <t>測定実施者</t>
  </si>
  <si>
    <t>FILE_SAMPLE</t>
  </si>
  <si>
    <t>試料</t>
  </si>
  <si>
    <t>HW_COUNTER_PIXEL_SIZE</t>
  </si>
  <si>
    <t>検出器ピクセルサイズ</t>
  </si>
  <si>
    <t>HW_COUNTER_SELECT_NAME</t>
  </si>
  <si>
    <t>使用検出器名称</t>
  </si>
  <si>
    <t>HW_XG_TARGET_NAME</t>
  </si>
  <si>
    <t>X線ターゲットの材質</t>
  </si>
  <si>
    <t>HW_XG_WAVE_LENGTH_ALPHA1</t>
  </si>
  <si>
    <t>K_alpha1の波長</t>
  </si>
  <si>
    <t>HW_XG_WAVE_LENGTH_ALPHA2</t>
  </si>
  <si>
    <t>K_alpha2の波長</t>
  </si>
  <si>
    <t>HW_XG_WAVE_LENGTH_BETA</t>
  </si>
  <si>
    <t>K_betaの波長</t>
  </si>
  <si>
    <t>MEAS_COND_OPT_ATTR</t>
  </si>
  <si>
    <t>光学系属性</t>
  </si>
  <si>
    <t>MEAS_COND_XG_CURRENT</t>
  </si>
  <si>
    <t>X線管電流</t>
  </si>
  <si>
    <t>MEAS_COND_XG_VOLTAGE</t>
  </si>
  <si>
    <t>X線管電圧</t>
  </si>
  <si>
    <t>波長タイプ</t>
  </si>
  <si>
    <t>MEAS_DATA_COUNT</t>
  </si>
  <si>
    <t>データ点数</t>
  </si>
  <si>
    <t>MEAS_SCAN_AXIS_X</t>
  </si>
  <si>
    <t>スキャン軸</t>
  </si>
  <si>
    <t>MEAS_SCAN_START_TIME</t>
  </si>
  <si>
    <t>スキャン開始時刻</t>
  </si>
  <si>
    <t>MEAS_SCAN_END_TIME</t>
  </si>
  <si>
    <t>スキャン終了時刻</t>
  </si>
  <si>
    <t>MEAS_SCAN_MODE</t>
  </si>
  <si>
    <t>スキャンモード</t>
  </si>
  <si>
    <t>MEAS_SCAN_SPEED</t>
  </si>
  <si>
    <t>スキャンスピード</t>
  </si>
  <si>
    <t>MEAS_SCAN_STEP</t>
  </si>
  <si>
    <t>MEAS_SCAN_START</t>
  </si>
  <si>
    <t>スキャン開始位置</t>
  </si>
  <si>
    <t>MEAS_SCAN_STOP</t>
  </si>
  <si>
    <t>スキャン終了位置</t>
  </si>
  <si>
    <t>MEAS_SCAN_UNIT_X</t>
  </si>
  <si>
    <t>スキャン軸の単位</t>
  </si>
  <si>
    <t>MEAS_SCAN_UNIT_Y</t>
  </si>
  <si>
    <t>強度の単位</t>
  </si>
  <si>
    <t>MEAS_COND_XG_WAVE_TYPE</t>
  </si>
  <si>
    <t>スキャンステップサイズ</t>
  </si>
  <si>
    <t>Comment</t>
  </si>
  <si>
    <t>Memo</t>
  </si>
  <si>
    <t>Measurement Operator</t>
  </si>
  <si>
    <t>Specimen</t>
  </si>
  <si>
    <t>Selected Detector Name</t>
  </si>
  <si>
    <t>X-ray Target Material</t>
  </si>
  <si>
    <t>K_alpha_1 Wavelength</t>
  </si>
  <si>
    <t>K_alpha_2 Wavelength</t>
  </si>
  <si>
    <t>K_beta Wavelength</t>
  </si>
  <si>
    <t>Optics Attribute</t>
  </si>
  <si>
    <t>X-ray Tube Current</t>
  </si>
  <si>
    <t>X-ray Tube Voltage</t>
  </si>
  <si>
    <t>Wavelength Type</t>
  </si>
  <si>
    <t>Data Point Number</t>
  </si>
  <si>
    <t>Scan Axis</t>
  </si>
  <si>
    <t>Scan Starting Date Time</t>
  </si>
  <si>
    <t>Scan Ending Date Time</t>
  </si>
  <si>
    <t>Scan Mode</t>
  </si>
  <si>
    <t>Scan Speed</t>
  </si>
  <si>
    <t>Scan Starting Position</t>
  </si>
  <si>
    <t>Scan Ending Position</t>
  </si>
  <si>
    <t>Scan Axis Unit</t>
  </si>
  <si>
    <t>Intensity Unit</t>
  </si>
  <si>
    <t>Detector Pixel Size</t>
  </si>
  <si>
    <t>Scan Step Size</t>
  </si>
  <si>
    <t>mm</t>
  </si>
  <si>
    <t>XRD</t>
    <phoneticPr fontId="2"/>
  </si>
  <si>
    <t>散乱_回折</t>
  </si>
  <si>
    <t>X線回折</t>
  </si>
  <si>
    <t>測定温度</t>
    <rPh sb="0" eb="2">
      <t>ソクテイ</t>
    </rPh>
    <rPh sb="2" eb="4">
      <t>オンド</t>
    </rPh>
    <phoneticPr fontId="4"/>
  </si>
  <si>
    <t>Measurement Temperature</t>
  </si>
  <si>
    <t>試料ホルダー名</t>
    <rPh sb="0" eb="2">
      <t>シリョウ</t>
    </rPh>
    <rPh sb="6" eb="7">
      <t>メイ</t>
    </rPh>
    <phoneticPr fontId="4"/>
  </si>
  <si>
    <t>Sample Holder Name</t>
  </si>
  <si>
    <t>C</t>
    <phoneticPr fontId="2"/>
  </si>
  <si>
    <t>measurement_temperature</t>
    <phoneticPr fontId="2"/>
  </si>
  <si>
    <t>sample_holder_name</t>
    <phoneticPr fontId="2"/>
  </si>
  <si>
    <t>main_image_setting</t>
    <phoneticPr fontId="2"/>
  </si>
  <si>
    <t>　</t>
  </si>
  <si>
    <t>必須</t>
  </si>
  <si>
    <t>内容</t>
  </si>
  <si>
    <t>備考</t>
  </si>
  <si>
    <t>入力ファイル</t>
  </si>
  <si>
    <t>出力ファイル（項目）</t>
  </si>
  <si>
    <t>ファイル種別</t>
  </si>
  <si>
    <t>ファイル名</t>
    <phoneticPr fontId="2"/>
  </si>
  <si>
    <t>処理内容</t>
  </si>
  <si>
    <t>出力ファイル</t>
    <phoneticPr fontId="2"/>
  </si>
  <si>
    <t>--</t>
  </si>
  <si>
    <t>metadata.json</t>
    <phoneticPr fontId="2"/>
  </si>
  <si>
    <t>構造化ファイル</t>
    <rPh sb="0" eb="3">
      <t>コウゾウカ</t>
    </rPh>
    <phoneticPr fontId="2"/>
  </si>
  <si>
    <t>代表画像ファイル</t>
    <rPh sb="0" eb="2">
      <t>ダイヒョウ</t>
    </rPh>
    <phoneticPr fontId="2"/>
  </si>
  <si>
    <t>画像ファイル</t>
  </si>
  <si>
    <t xml:space="preserve">
</t>
    <phoneticPr fontId="2"/>
  </si>
  <si>
    <t>Angstrom</t>
  </si>
  <si>
    <t>モード</t>
    <phoneticPr fontId="2"/>
  </si>
  <si>
    <t>ras形式</t>
    <rPh sb="3" eb="5">
      <t>ケイシキ</t>
    </rPh>
    <phoneticPr fontId="2"/>
  </si>
  <si>
    <t>rasx形式</t>
    <rPh sb="4" eb="6">
      <t>ケイシキ</t>
    </rPh>
    <phoneticPr fontId="2"/>
  </si>
  <si>
    <t>rasx.comment</t>
    <phoneticPr fontId="2"/>
  </si>
  <si>
    <t>rasx.memo</t>
    <phoneticPr fontId="2"/>
  </si>
  <si>
    <t>rasx.measurement_operator</t>
    <phoneticPr fontId="2"/>
  </si>
  <si>
    <t>rasx.specimen</t>
    <phoneticPr fontId="2"/>
  </si>
  <si>
    <t>rasx.detector_pixel_size</t>
    <phoneticPr fontId="2"/>
  </si>
  <si>
    <t>rasx.selected_detector_name</t>
    <phoneticPr fontId="2"/>
  </si>
  <si>
    <t>rasx.x-ray_target_material</t>
    <phoneticPr fontId="2"/>
  </si>
  <si>
    <t>rasx.k_alpha_1_wavelength</t>
    <phoneticPr fontId="2"/>
  </si>
  <si>
    <t>rasx.k_alpha_2_wavelength</t>
    <phoneticPr fontId="2"/>
  </si>
  <si>
    <t>rasx.k_beta_wavelength</t>
    <phoneticPr fontId="2"/>
  </si>
  <si>
    <t>rasx.optics_attribute</t>
    <phoneticPr fontId="2"/>
  </si>
  <si>
    <t>rasx.x-ray_tube_current</t>
    <phoneticPr fontId="2"/>
  </si>
  <si>
    <t>rasx.x-ray_tube_voltage</t>
    <phoneticPr fontId="2"/>
  </si>
  <si>
    <t>rasx.wavelength_type</t>
    <phoneticPr fontId="2"/>
  </si>
  <si>
    <t>rasx.data_point_number</t>
    <phoneticPr fontId="2"/>
  </si>
  <si>
    <t>rasx.scan_axis</t>
    <phoneticPr fontId="2"/>
  </si>
  <si>
    <t>rasx.scan_starting_date_time</t>
    <phoneticPr fontId="2"/>
  </si>
  <si>
    <t>rasx.scan_ending_date_time</t>
    <phoneticPr fontId="2"/>
  </si>
  <si>
    <t>rasx.scan_mode</t>
    <phoneticPr fontId="2"/>
  </si>
  <si>
    <t>rasx.scan_speed</t>
    <phoneticPr fontId="2"/>
  </si>
  <si>
    <t>rasx.scan_step_size</t>
    <phoneticPr fontId="2"/>
  </si>
  <si>
    <t>rasx.scan_starting_position</t>
    <phoneticPr fontId="2"/>
  </si>
  <si>
    <t>rasx.scan_ending_position</t>
    <phoneticPr fontId="2"/>
  </si>
  <si>
    <t>rasx.scan_axis_unit</t>
    <phoneticPr fontId="2"/>
  </si>
  <si>
    <t>rasx.intensity_unit</t>
    <phoneticPr fontId="2"/>
  </si>
  <si>
    <t>ras.comment</t>
  </si>
  <si>
    <t>ras.memo</t>
  </si>
  <si>
    <t>ras.measurement_operator</t>
  </si>
  <si>
    <t>ras.specimen</t>
  </si>
  <si>
    <t>ras.detector_pixel_size</t>
  </si>
  <si>
    <t>ras.selected_detector_name</t>
  </si>
  <si>
    <t>ras.x-ray_target_material</t>
  </si>
  <si>
    <t>ras.k_alpha_1_wavelength</t>
  </si>
  <si>
    <t>ras.k_alpha_2_wavelength</t>
  </si>
  <si>
    <t>ras.k_beta_wavelength</t>
  </si>
  <si>
    <t>ras.optics_attribute</t>
  </si>
  <si>
    <t>ras.x-ray_tube_current</t>
  </si>
  <si>
    <t>ras.x-ray_tube_voltage</t>
  </si>
  <si>
    <t>ras.wavelength_type</t>
  </si>
  <si>
    <t>ras.data_point_number</t>
  </si>
  <si>
    <t>ras.scan_axis</t>
  </si>
  <si>
    <t>ras.scan_starting_date_time</t>
  </si>
  <si>
    <t>ras.scan_ending_date_time</t>
  </si>
  <si>
    <t>ras.scan_mode</t>
  </si>
  <si>
    <t>ras.scan_speed</t>
  </si>
  <si>
    <t>ras.scan_step_size</t>
  </si>
  <si>
    <t>ras.scan_starting_position</t>
  </si>
  <si>
    <t>ras.scan_ending_position</t>
  </si>
  <si>
    <t>ras.scan_axis_unit</t>
  </si>
  <si>
    <t>ras.intensity_unit</t>
  </si>
  <si>
    <t>Comment</t>
    <phoneticPr fontId="2"/>
  </si>
  <si>
    <t>Memo</t>
    <phoneticPr fontId="2"/>
  </si>
  <si>
    <t>Operator</t>
    <phoneticPr fontId="2"/>
  </si>
  <si>
    <t>SampleName</t>
    <phoneticPr fontId="2"/>
  </si>
  <si>
    <t>PixelSize</t>
    <phoneticPr fontId="2"/>
  </si>
  <si>
    <t>Detector</t>
    <phoneticPr fontId="2"/>
  </si>
  <si>
    <t>TargetAtomicNumbe</t>
    <phoneticPr fontId="2"/>
  </si>
  <si>
    <t>WavelengthKalpha1</t>
    <phoneticPr fontId="2"/>
  </si>
  <si>
    <t>WavelengthKalpha2</t>
    <phoneticPr fontId="2"/>
  </si>
  <si>
    <t>WavelengthKbeta</t>
    <phoneticPr fontId="2"/>
  </si>
  <si>
    <t>Attribute</t>
    <phoneticPr fontId="2"/>
  </si>
  <si>
    <t>Current</t>
    <phoneticPr fontId="2"/>
  </si>
  <si>
    <t>Voltage</t>
    <phoneticPr fontId="2"/>
  </si>
  <si>
    <t>Wavelength Type</t>
    <phoneticPr fontId="2"/>
  </si>
  <si>
    <t>Data Point Number</t>
    <phoneticPr fontId="2"/>
  </si>
  <si>
    <t>AxisName</t>
    <phoneticPr fontId="2"/>
  </si>
  <si>
    <t>StartTime</t>
    <phoneticPr fontId="2"/>
  </si>
  <si>
    <t>EndTime</t>
  </si>
  <si>
    <t>Speed</t>
    <phoneticPr fontId="2"/>
  </si>
  <si>
    <t>Mode</t>
    <phoneticPr fontId="2"/>
  </si>
  <si>
    <t>Step</t>
    <phoneticPr fontId="2"/>
  </si>
  <si>
    <t>Start</t>
    <phoneticPr fontId="2"/>
  </si>
  <si>
    <t>Stop</t>
    <phoneticPr fontId="2"/>
  </si>
  <si>
    <t>PositionUnit</t>
    <phoneticPr fontId="2"/>
  </si>
  <si>
    <t>IntensityUnit</t>
    <phoneticPr fontId="2"/>
  </si>
  <si>
    <t>試料分類</t>
    <phoneticPr fontId="2"/>
  </si>
  <si>
    <t>Sample type</t>
    <phoneticPr fontId="2"/>
  </si>
  <si>
    <t>スキャン開始時刻</t>
    <phoneticPr fontId="2"/>
  </si>
  <si>
    <t>mA</t>
    <phoneticPr fontId="2"/>
  </si>
  <si>
    <t>deg/min</t>
    <phoneticPr fontId="2"/>
  </si>
  <si>
    <t>deg</t>
    <phoneticPr fontId="2"/>
  </si>
  <si>
    <t>${filename}の場合、ファイル名(拡張子を除く)を設定</t>
    <rPh sb="12" eb="14">
      <t>バアイ</t>
    </rPh>
    <rPh sb="19" eb="20">
      <t>メイ</t>
    </rPh>
    <rPh sb="21" eb="24">
      <t>カクチョウシ</t>
    </rPh>
    <rPh sb="25" eb="26">
      <t>ノゾ</t>
    </rPh>
    <rPh sb="29" eb="31">
      <t>セッテイ</t>
    </rPh>
    <phoneticPr fontId="2"/>
  </si>
  <si>
    <t>ファイルの命名規約に基づいて設定</t>
    <rPh sb="5" eb="7">
      <t>メイメイ</t>
    </rPh>
    <rPh sb="7" eb="9">
      <t>キヤク</t>
    </rPh>
    <rPh sb="10" eb="11">
      <t>モト</t>
    </rPh>
    <rPh sb="14" eb="16">
      <t>セッテイ</t>
    </rPh>
    <phoneticPr fontId="2"/>
  </si>
  <si>
    <t>YYYY-MM-DD</t>
    <phoneticPr fontId="2"/>
  </si>
  <si>
    <t>kV</t>
    <phoneticPr fontId="2"/>
  </si>
  <si>
    <t>deg</t>
    <phoneticPr fontId="2"/>
  </si>
  <si>
    <t>階層</t>
    <rPh sb="0" eb="2">
      <t>カイソウ</t>
    </rPh>
    <phoneticPr fontId="2"/>
  </si>
  <si>
    <t>system</t>
  </si>
  <si>
    <t>system</t>
    <phoneticPr fontId="2"/>
  </si>
  <si>
    <t>extended_mode</t>
    <phoneticPr fontId="2"/>
  </si>
  <si>
    <t>magic_variable</t>
    <phoneticPr fontId="2"/>
  </si>
  <si>
    <t>save_thumbnail_image</t>
  </si>
  <si>
    <t>filename_mapping_rule</t>
  </si>
  <si>
    <t>manufacturer</t>
  </si>
  <si>
    <t>動作モード</t>
    <phoneticPr fontId="2"/>
  </si>
  <si>
    <t>マジックネーム</t>
    <phoneticPr fontId="2"/>
  </si>
  <si>
    <t>サムネイル画像保存</t>
    <phoneticPr fontId="2"/>
  </si>
  <si>
    <t>ファイル名マッピング規則</t>
    <phoneticPr fontId="2"/>
  </si>
  <si>
    <t>装置メーカー名</t>
    <phoneticPr fontId="2"/>
  </si>
  <si>
    <t>(なし)</t>
    <phoneticPr fontId="2"/>
  </si>
  <si>
    <t>true'</t>
    <phoneticPr fontId="2"/>
  </si>
  <si>
    <t>データファイル一括投入時'MultiDataTile'を設定</t>
    <phoneticPr fontId="2"/>
  </si>
  <si>
    <t>ファイル名 = データ名としない場合は'false'に設定</t>
    <phoneticPr fontId="2"/>
  </si>
  <si>
    <t>ファイル名からメタデータの一部を取得しない場合'false'に設定</t>
    <phoneticPr fontId="2"/>
  </si>
  <si>
    <t>ファイルのメタデータの'スキャン開始位置'を設定
(.ras: MEAS_SCAN_START_TIME
 .rasx: rasx.scan_starting_date_time
 .TXT: StartTime
 .uxd: ;content of)</t>
    <rPh sb="16" eb="18">
      <t>カイシ</t>
    </rPh>
    <rPh sb="18" eb="20">
      <t>イチ</t>
    </rPh>
    <rPh sb="22" eb="24">
      <t>セッテイ</t>
    </rPh>
    <phoneticPr fontId="2"/>
  </si>
  <si>
    <t>データファイル</t>
    <phoneticPr fontId="2"/>
  </si>
  <si>
    <t>メタデータファイル</t>
    <phoneticPr fontId="2"/>
  </si>
  <si>
    <t>rigaku'</t>
    <phoneticPr fontId="2"/>
  </si>
  <si>
    <t>(例) sample_data.ras</t>
    <phoneticPr fontId="2"/>
  </si>
  <si>
    <t>sample_data.ras</t>
    <phoneticPr fontId="2"/>
  </si>
  <si>
    <t>sample_data_blank.ras</t>
    <phoneticPr fontId="2"/>
  </si>
  <si>
    <t>生の強度データ(.ras, .rasxファイル)</t>
    <phoneticPr fontId="2"/>
  </si>
  <si>
    <t>リファレンスの強度データ(.ras, .rasxファイル)</t>
    <phoneticPr fontId="2"/>
  </si>
  <si>
    <t>sample_data.csv</t>
    <phoneticPr fontId="2"/>
  </si>
  <si>
    <t>htmlファイル</t>
    <phoneticPr fontId="2"/>
  </si>
  <si>
    <t>sample_data.html</t>
    <phoneticPr fontId="2"/>
  </si>
  <si>
    <t>sample_data.png</t>
    <phoneticPr fontId="2"/>
  </si>
  <si>
    <t>バックグラウンド除去後のデータプロット（q vs. Corrected Intensity、y軸対数スケール）
- ターゲットの種類（例：Target: Cu）
- qの計算式（例：q = (4π/λ) * sin(θ)）</t>
    <phoneticPr fontId="2"/>
  </si>
  <si>
    <t>sample_data_raw_ref.png</t>
    <phoneticPr fontId="2"/>
  </si>
  <si>
    <t>生データとリファレンスデータの比較プロット</t>
    <phoneticPr fontId="2"/>
  </si>
  <si>
    <t>rasxのみ</t>
    <phoneticPr fontId="2"/>
  </si>
  <si>
    <t>MeasurementConditions0.xml</t>
    <phoneticPr fontId="2"/>
  </si>
  <si>
    <t>Profile0.txt</t>
    <phoneticPr fontId="2"/>
  </si>
  <si>
    <t>数字データファイル
- 2theta (deg): 回折角度（度）
- q (Angstrom^-1): スキャンベクトル（A?1）
- data: Intensity (counts): 生の強度データ（カウント）
- ref: Intensity (counts): リファレンスの強度データ（カウント）
- Corrected: Intensity (counts): バックグラウンド除去後の強度データ（カウント）</t>
    <rPh sb="0" eb="2">
      <t>スウジ</t>
    </rPh>
    <phoneticPr fontId="2"/>
  </si>
  <si>
    <t>SAXSテンプレート</t>
    <phoneticPr fontId="2"/>
  </si>
  <si>
    <t>SAXS_fittingテンプレート</t>
    <phoneticPr fontId="2"/>
  </si>
  <si>
    <t>数字データファイル
- q (nm^-1):  スキャンベクトル [nm-1]
- Experimental Intensity (counts): 実験で測定された散乱強度 [counts]
- Fitted Intensity (counts): フィッティングモデルによる予測強度 [counts]</t>
    <rPh sb="0" eb="2">
      <t>スウジ</t>
    </rPh>
    <phoneticPr fontId="2"/>
  </si>
  <si>
    <t>sample_data_fitting.html (フィッティングプロット)
'sample_data_raw.html (生データプロット)</t>
    <rPh sb="62" eb="63">
      <t>ナマ</t>
    </rPh>
    <phoneticPr fontId="2"/>
  </si>
  <si>
    <t>sample_data_fitting.log</t>
    <phoneticPr fontId="2"/>
  </si>
  <si>
    <t>ログファイル</t>
    <phoneticPr fontId="2"/>
  </si>
  <si>
    <t>saxs_fitting_results.csv</t>
    <phoneticPr fontId="2"/>
  </si>
  <si>
    <t>フィッティング結果</t>
    <rPh sb="7" eb="9">
      <t>ケッカ</t>
    </rPh>
    <phoneticPr fontId="2"/>
  </si>
  <si>
    <t>sample_data_fitting.png</t>
    <phoneticPr fontId="2"/>
  </si>
  <si>
    <t>フィッティング処理後のデータプロット
（q vs. Fitted Intensity、y軸対数スケール）</t>
    <rPh sb="7" eb="9">
      <t>ショリ</t>
    </rPh>
    <phoneticPr fontId="2"/>
  </si>
  <si>
    <t>生データ(フィッティング処理前)のデータプロット
（2theta (deg) vs. Intensity、y軸対数スケール）</t>
    <rPh sb="0" eb="1">
      <t>ナマ</t>
    </rPh>
    <rPh sb="12" eb="14">
      <t>ショリ</t>
    </rPh>
    <rPh sb="14" eb="15">
      <t>マエ</t>
    </rPh>
    <phoneticPr fontId="2"/>
  </si>
  <si>
    <t>saxs</t>
    <phoneticPr fontId="2"/>
  </si>
  <si>
    <t>画像のグラフスケール</t>
    <rPh sb="0" eb="2">
      <t>ガゾウ</t>
    </rPh>
    <phoneticPr fontId="2"/>
  </si>
  <si>
    <t>グラフ画像を対数目盛(Logarithmic Scale)に設定する場合'log'を設定
※ガウスフィッティングのグラフは、この設定にかかわらず常に対数目盛で表示されます。</t>
    <rPh sb="3" eb="5">
      <t>ガゾウ</t>
    </rPh>
    <rPh sb="6" eb="8">
      <t>タイスウ</t>
    </rPh>
    <rPh sb="8" eb="10">
      <t>メモリ</t>
    </rPh>
    <rPh sb="30" eb="32">
      <t>セッテイ</t>
    </rPh>
    <rPh sb="34" eb="36">
      <t>バアイ</t>
    </rPh>
    <rPh sb="42" eb="44">
      <t>セッテイ</t>
    </rPh>
    <phoneticPr fontId="2"/>
  </si>
  <si>
    <t>川岸</t>
    <rPh sb="0" eb="2">
      <t>カワギシ</t>
    </rPh>
    <phoneticPr fontId="2"/>
  </si>
  <si>
    <t>(共通)</t>
    <rPh sb="1" eb="3">
      <t>キョウツウ</t>
    </rPh>
    <phoneticPr fontId="2"/>
  </si>
  <si>
    <t>代表画像の設定</t>
    <phoneticPr fontId="2"/>
  </si>
  <si>
    <t>Main Image Setting</t>
    <phoneticPr fontId="2"/>
  </si>
  <si>
    <t>sample_id</t>
    <phoneticPr fontId="2"/>
  </si>
  <si>
    <t>mean</t>
    <phoneticPr fontId="2"/>
  </si>
  <si>
    <t>平均</t>
    <phoneticPr fontId="2"/>
  </si>
  <si>
    <t>nm</t>
    <phoneticPr fontId="2"/>
  </si>
  <si>
    <t>手入力メタデータの説明に転記</t>
    <rPh sb="0" eb="3">
      <t>テニュウリョク</t>
    </rPh>
    <rPh sb="9" eb="11">
      <t>セツメイ</t>
    </rPh>
    <rPh sb="12" eb="14">
      <t>テンキ</t>
    </rPh>
    <phoneticPr fontId="2"/>
  </si>
  <si>
    <t>sigma</t>
    <phoneticPr fontId="2"/>
  </si>
  <si>
    <t>標準偏差</t>
    <phoneticPr fontId="2"/>
  </si>
  <si>
    <t>intensity</t>
    <phoneticPr fontId="2"/>
  </si>
  <si>
    <t>強度</t>
    <phoneticPr fontId="2"/>
  </si>
  <si>
    <t>cost</t>
  </si>
  <si>
    <t>cost</t>
    <phoneticPr fontId="2"/>
  </si>
  <si>
    <t>ras.comment</t>
    <phoneticPr fontId="2"/>
  </si>
  <si>
    <t>SAXS_テンプレート</t>
    <phoneticPr fontId="2"/>
  </si>
  <si>
    <t>平均半径 (最小, 最大)</t>
    <rPh sb="0" eb="2">
      <t>ヘイキン</t>
    </rPh>
    <rPh sb="2" eb="4">
      <t>ハンケイ</t>
    </rPh>
    <rPh sb="6" eb="8">
      <t>サイショウ</t>
    </rPh>
    <rPh sb="10" eb="12">
      <t>サイダイ</t>
    </rPh>
    <phoneticPr fontId="4"/>
  </si>
  <si>
    <t>Mean (min, max)</t>
    <phoneticPr fontId="2"/>
  </si>
  <si>
    <t>(0.1, 50.0)</t>
    <phoneticPr fontId="2"/>
  </si>
  <si>
    <t>scipy.optimize.differential_evolutionのパラメータ</t>
    <phoneticPr fontId="2"/>
  </si>
  <si>
    <t>標準偏差 (最小, 最大)</t>
    <rPh sb="0" eb="2">
      <t>ヒョウジュン</t>
    </rPh>
    <rPh sb="2" eb="4">
      <t>ヘンサ</t>
    </rPh>
    <rPh sb="6" eb="8">
      <t>サイショウ</t>
    </rPh>
    <rPh sb="10" eb="12">
      <t>サイダイ</t>
    </rPh>
    <phoneticPr fontId="4"/>
  </si>
  <si>
    <t>Sigma (min, max)</t>
    <phoneticPr fontId="2"/>
  </si>
  <si>
    <t>(0.05, 10.0)</t>
  </si>
  <si>
    <t>h_log</t>
    <phoneticPr fontId="2"/>
  </si>
  <si>
    <t>散乱強度 (最小, 最大)</t>
    <phoneticPr fontId="2"/>
  </si>
  <si>
    <t>H Log (min, max)</t>
    <phoneticPr fontId="2"/>
  </si>
  <si>
    <t>(2.0, 6.0)</t>
    <phoneticPr fontId="2"/>
  </si>
  <si>
    <t>計算メタ</t>
    <rPh sb="0" eb="2">
      <t>ケイサン</t>
    </rPh>
    <phoneticPr fontId="2"/>
  </si>
  <si>
    <t>calculation_calculation_method</t>
    <phoneticPr fontId="2"/>
  </si>
  <si>
    <t>計算方法</t>
    <phoneticPr fontId="2"/>
  </si>
  <si>
    <t>Calculation method</t>
    <phoneticPr fontId="2"/>
  </si>
  <si>
    <t>機械学習, 差分進化アルゴリズム</t>
    <phoneticPr fontId="2"/>
  </si>
  <si>
    <t>calculation_supercom_or_pc</t>
    <phoneticPr fontId="2"/>
  </si>
  <si>
    <t>SuperComまたはPC</t>
    <phoneticPr fontId="2"/>
  </si>
  <si>
    <t>SuperCom or PC</t>
    <phoneticPr fontId="2"/>
  </si>
  <si>
    <t>azure cloud</t>
    <phoneticPr fontId="2"/>
  </si>
  <si>
    <t>calculation_os</t>
    <phoneticPr fontId="2"/>
  </si>
  <si>
    <t>オペレーティングシステム</t>
    <phoneticPr fontId="2"/>
  </si>
  <si>
    <t>OS</t>
    <phoneticPr fontId="2"/>
  </si>
  <si>
    <t>Debian GNU/Linux 13 (trixie)</t>
    <phoneticPr fontId="2"/>
  </si>
  <si>
    <t>calculation_software_name</t>
    <phoneticPr fontId="2"/>
  </si>
  <si>
    <t>ソフトウェア名称</t>
    <phoneticPr fontId="2"/>
  </si>
  <si>
    <t>Software name</t>
    <phoneticPr fontId="2"/>
  </si>
  <si>
    <t>SAXS差分進化フィッティング</t>
    <phoneticPr fontId="2"/>
  </si>
  <si>
    <t>calculation_software_version</t>
    <phoneticPr fontId="2"/>
  </si>
  <si>
    <t>ソフトウェアバージョン</t>
    <phoneticPr fontId="2"/>
  </si>
  <si>
    <t>Software version</t>
    <phoneticPr fontId="2"/>
  </si>
  <si>
    <t>calculation_software_reference</t>
    <phoneticPr fontId="2"/>
  </si>
  <si>
    <t>ソフトウェア参照</t>
    <phoneticPr fontId="2"/>
  </si>
  <si>
    <t>Software reference</t>
    <phoneticPr fontId="2"/>
  </si>
  <si>
    <t>SciPy, NumPy, joblib</t>
    <phoneticPr fontId="2"/>
  </si>
  <si>
    <t>calculation_operator</t>
    <phoneticPr fontId="2"/>
  </si>
  <si>
    <t>計算実行者</t>
    <phoneticPr fontId="2"/>
  </si>
  <si>
    <t>RDE</t>
    <phoneticPr fontId="2"/>
  </si>
  <si>
    <t>calculation_calculated_date</t>
    <phoneticPr fontId="2"/>
  </si>
  <si>
    <t>計算日</t>
    <phoneticPr fontId="2"/>
  </si>
  <si>
    <t>Calculated date</t>
    <phoneticPr fontId="2"/>
  </si>
  <si>
    <t>登録日から自動取得します</t>
    <phoneticPr fontId="2"/>
  </si>
  <si>
    <t>calculation_material_name</t>
    <phoneticPr fontId="2"/>
  </si>
  <si>
    <t>物質名</t>
    <phoneticPr fontId="2"/>
  </si>
  <si>
    <t>Material name</t>
    <phoneticPr fontId="2"/>
  </si>
  <si>
    <t>calculation_key_object</t>
    <phoneticPr fontId="2"/>
  </si>
  <si>
    <t>キーの配列/計算される主な物性</t>
    <phoneticPr fontId="2"/>
  </si>
  <si>
    <t>Key object</t>
    <phoneticPr fontId="2"/>
  </si>
  <si>
    <t>粒子平均半径, 粒子サイズ分布標準偏差, 散乱強度</t>
    <phoneticPr fontId="2"/>
  </si>
  <si>
    <t>SAXS_fitting_CSVテンプレート</t>
    <phoneticPr fontId="2"/>
  </si>
  <si>
    <t>SAXS_fittingテンプレート, SAXS_fitting_CSVテンプレート</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</si>
</sst>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E+00"/>
  </numFmts>
  <fonts count="24">
    <font>
      <sz val="11"/>
      <color theme="1"/>
      <name val="Yu Gothic"/>
      <family val="2"/>
      <scheme val="minor"/>
    </font>
    <font>
      <sz val="11"/>
      <color theme="1"/>
      <name val="Yu Gothic"/>
      <family val="2"/>
      <charset val="128"/>
      <scheme val="minor"/>
    </font>
    <font>
      <sz val="6"/>
      <name val="Yu Gothic"/>
      <family val="3"/>
      <charset val="128"/>
      <scheme val="minor"/>
    </font>
    <font>
      <sz val="11"/>
      <color rgb="FF000000"/>
      <name val="ＭＳ Ｐゴシック"/>
      <family val="3"/>
      <charset val="128"/>
    </font>
    <font>
      <b/>
      <sz val="11"/>
      <color theme="1"/>
      <name val="Yu Gothic"/>
      <family val="3"/>
      <charset val="128"/>
      <scheme val="minor"/>
    </font>
    <font>
      <sz val="11"/>
      <color rgb="FF000000"/>
      <name val="Yu Gothic"/>
      <family val="3"/>
      <charset val="128"/>
      <scheme val="minor"/>
    </font>
    <font>
      <sz val="11"/>
      <color theme="1"/>
      <name val="Yu Gothic"/>
      <family val="3"/>
      <charset val="128"/>
      <scheme val="minor"/>
    </font>
    <font>
      <sz val="11"/>
      <color rgb="FFFF0000"/>
      <name val="Yu Gothic"/>
      <family val="3"/>
      <charset val="128"/>
      <scheme val="minor"/>
    </font>
    <font>
      <sz val="12"/>
      <name val="Yu Gothic"/>
      <family val="3"/>
      <charset val="128"/>
      <scheme val="minor"/>
    </font>
    <font>
      <sz val="12"/>
      <color rgb="FF24292E"/>
      <name val="Yu Gothic"/>
      <family val="3"/>
      <charset val="128"/>
      <scheme val="minor"/>
    </font>
    <font>
      <sz val="11"/>
      <name val="Yu Gothic"/>
      <family val="3"/>
      <charset val="128"/>
      <scheme val="minor"/>
    </font>
    <font>
      <sz val="14"/>
      <color theme="1"/>
      <name val="游明朝"/>
      <family val="1"/>
      <charset val="128"/>
    </font>
    <font>
      <sz val="6"/>
      <name val="Yu Gothic"/>
      <family val="2"/>
      <charset val="128"/>
      <scheme val="minor"/>
    </font>
    <font>
      <sz val="11"/>
      <color theme="1"/>
      <name val="游明朝"/>
      <family val="1"/>
      <charset val="128"/>
    </font>
    <font>
      <sz val="11"/>
      <color theme="0"/>
      <name val="游明朝"/>
      <family val="1"/>
      <charset val="128"/>
    </font>
    <font>
      <sz val="10"/>
      <color theme="1"/>
      <name val="游明朝"/>
      <family val="1"/>
      <charset val="128"/>
    </font>
    <font>
      <b/>
      <sz val="12"/>
      <color rgb="FFFFFFFF"/>
      <name val="Yu Gothic"/>
      <family val="3"/>
      <charset val="128"/>
    </font>
    <font>
      <b/>
      <sz val="11"/>
      <color rgb="FFFFFFFF"/>
      <name val="Yu Gothic"/>
      <family val="3"/>
      <charset val="128"/>
    </font>
    <font>
      <sz val="11"/>
      <color rgb="FF000000"/>
      <name val="Yu Gothic"/>
      <family val="3"/>
      <charset val="128"/>
    </font>
    <font>
      <sz val="10"/>
      <color rgb="FFFF0000"/>
      <name val="Yu Gothic"/>
      <family val="3"/>
      <charset val="128"/>
    </font>
    <font>
      <b/>
      <sz val="11"/>
      <color rgb="FF000000"/>
      <name val="Yu Gothic"/>
      <family val="3"/>
      <charset val="128"/>
    </font>
    <font>
      <sz val="11"/>
      <color rgb="FFFF0000"/>
      <name val="Yu Gothic"/>
      <family val="3"/>
      <charset val="128"/>
    </font>
    <font>
      <sz val="11"/>
      <name val="Yu Gothic"/>
      <family val="3"/>
      <charset val="128"/>
    </font>
    <font>
      <sz val="12"/>
      <color theme="1"/>
      <name val="Yu Gothic"/>
      <family val="3"/>
      <charset val="128"/>
      <scheme val="minor"/>
    </font>
  </fonts>
  <fills count="1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rgb="FFFF0000"/>
        <bgColor indexed="64"/>
      </patternFill>
    </fill>
    <fill>
      <patternFill patternType="solid">
        <fgColor rgb="FFFFFF00"/>
        <bgColor indexed="64"/>
      </patternFill>
    </fill>
    <fill>
      <patternFill patternType="solid">
        <fgColor rgb="FF167F92"/>
        <bgColor rgb="FF5B9BD5"/>
      </patternFill>
    </fill>
    <fill>
      <patternFill patternType="solid">
        <fgColor rgb="FF6DB2BF"/>
        <bgColor rgb="FFDDEBF7"/>
      </patternFill>
    </fill>
    <fill>
      <patternFill patternType="solid">
        <fgColor rgb="FFE2F0F3"/>
        <bgColor rgb="FFDDEBF7"/>
      </patternFill>
    </fill>
    <fill>
      <patternFill patternType="solid">
        <fgColor rgb="FF6DB2BF"/>
        <bgColor rgb="FF000000"/>
      </patternFill>
    </fill>
    <fill>
      <patternFill patternType="solid">
        <fgColor rgb="FF9CCBD4"/>
        <bgColor rgb="FF000000"/>
      </patternFill>
    </fill>
    <fill>
      <patternFill patternType="solid">
        <fgColor rgb="FFE2F0F3"/>
        <bgColor rgb="FF000000"/>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bottom style="thin">
        <color rgb="FFFFFFFF"/>
      </bottom>
      <diagonal/>
    </border>
    <border>
      <left style="thin">
        <color rgb="FFFFFFFF"/>
      </left>
      <right style="thin">
        <color rgb="FFFFFFFF"/>
      </right>
      <top style="thin">
        <color rgb="FFFFFFFF"/>
      </top>
      <bottom/>
      <diagonal/>
    </border>
    <border>
      <left style="thin">
        <color rgb="FFFFFFFF"/>
      </left>
      <right style="thin">
        <color rgb="FFFFFFFF"/>
      </right>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3">
    <xf numFmtId="0" fontId="0" fillId="0" borderId="0"/>
    <xf numFmtId="0" fontId="1" fillId="0" borderId="0">
      <alignment vertical="center"/>
    </xf>
    <xf numFmtId="0" fontId="3" fillId="0" borderId="0"/>
  </cellStyleXfs>
  <cellXfs count="177">
    <xf numFmtId="0" fontId="0" fillId="0" borderId="0" xfId="0"/>
    <xf numFmtId="0" fontId="4" fillId="0" borderId="1" xfId="0" applyFont="1" applyBorder="1"/>
    <xf numFmtId="49" fontId="5" fillId="0" borderId="14" xfId="0" applyNumberFormat="1" applyFont="1" applyBorder="1" applyAlignment="1">
      <alignment horizontal="left"/>
    </xf>
    <xf numFmtId="0" fontId="6" fillId="0" borderId="0" xfId="0" applyFont="1"/>
    <xf numFmtId="0" fontId="6" fillId="3" borderId="0" xfId="0" applyFont="1" applyFill="1"/>
    <xf numFmtId="0" fontId="6" fillId="0" borderId="0" xfId="0" applyFont="1" applyAlignment="1">
      <alignment horizontal="center"/>
    </xf>
    <xf numFmtId="0" fontId="6" fillId="0" borderId="0" xfId="0" applyFont="1" applyAlignment="1">
      <alignment wrapText="1"/>
    </xf>
    <xf numFmtId="0" fontId="5" fillId="4" borderId="18" xfId="0" applyFont="1" applyFill="1" applyBorder="1" applyAlignment="1">
      <alignment wrapText="1"/>
    </xf>
    <xf numFmtId="0" fontId="5" fillId="4" borderId="19" xfId="0" applyFont="1" applyFill="1" applyBorder="1" applyAlignment="1">
      <alignment horizontal="center" wrapText="1"/>
    </xf>
    <xf numFmtId="0" fontId="5" fillId="4" borderId="19" xfId="0" applyFont="1" applyFill="1" applyBorder="1"/>
    <xf numFmtId="0" fontId="5" fillId="4" borderId="19" xfId="0" applyFont="1" applyFill="1" applyBorder="1" applyAlignment="1">
      <alignment wrapText="1"/>
    </xf>
    <xf numFmtId="0" fontId="6" fillId="4" borderId="19" xfId="0" applyFont="1" applyFill="1" applyBorder="1"/>
    <xf numFmtId="49" fontId="6" fillId="4" borderId="20" xfId="0" applyNumberFormat="1" applyFont="1" applyFill="1" applyBorder="1" applyAlignment="1">
      <alignment horizontal="left" wrapText="1"/>
    </xf>
    <xf numFmtId="0" fontId="5" fillId="0" borderId="7" xfId="0" applyFont="1" applyBorder="1"/>
    <xf numFmtId="0" fontId="5" fillId="0" borderId="7" xfId="0" applyFont="1" applyBorder="1" applyAlignment="1">
      <alignment horizontal="center"/>
    </xf>
    <xf numFmtId="0" fontId="6" fillId="0" borderId="7" xfId="0" applyFont="1" applyBorder="1"/>
    <xf numFmtId="49" fontId="6" fillId="0" borderId="8" xfId="0" applyNumberFormat="1" applyFont="1" applyBorder="1" applyAlignment="1">
      <alignment horizontal="left"/>
    </xf>
    <xf numFmtId="0" fontId="5" fillId="5" borderId="1" xfId="0" applyFont="1" applyFill="1" applyBorder="1"/>
    <xf numFmtId="0" fontId="5" fillId="5" borderId="1" xfId="0" applyFont="1" applyFill="1" applyBorder="1" applyAlignment="1">
      <alignment horizontal="center"/>
    </xf>
    <xf numFmtId="0" fontId="6" fillId="5" borderId="1" xfId="0" applyFont="1" applyFill="1" applyBorder="1"/>
    <xf numFmtId="49" fontId="6" fillId="5" borderId="10" xfId="0" applyNumberFormat="1" applyFont="1" applyFill="1" applyBorder="1" applyAlignment="1">
      <alignment horizontal="left"/>
    </xf>
    <xf numFmtId="0" fontId="5" fillId="0" borderId="1" xfId="0" applyFont="1" applyBorder="1"/>
    <xf numFmtId="0" fontId="5" fillId="0" borderId="1" xfId="0" applyFont="1" applyBorder="1" applyAlignment="1">
      <alignment horizontal="center"/>
    </xf>
    <xf numFmtId="0" fontId="6" fillId="0" borderId="1" xfId="0" applyFont="1" applyBorder="1"/>
    <xf numFmtId="49" fontId="6" fillId="0" borderId="10" xfId="0" applyNumberFormat="1" applyFont="1" applyBorder="1" applyAlignment="1">
      <alignment horizontal="left"/>
    </xf>
    <xf numFmtId="0" fontId="5" fillId="0" borderId="13" xfId="0" applyFont="1" applyBorder="1"/>
    <xf numFmtId="0" fontId="5" fillId="0" borderId="13" xfId="0" applyFont="1" applyBorder="1" applyAlignment="1">
      <alignment horizontal="center"/>
    </xf>
    <xf numFmtId="0" fontId="6" fillId="0" borderId="13" xfId="0" applyFont="1" applyBorder="1"/>
    <xf numFmtId="49" fontId="6" fillId="0" borderId="14" xfId="0" applyNumberFormat="1" applyFont="1" applyBorder="1" applyAlignment="1">
      <alignment horizontal="left"/>
    </xf>
    <xf numFmtId="0" fontId="5" fillId="0" borderId="7" xfId="2" applyFont="1" applyBorder="1"/>
    <xf numFmtId="0" fontId="6" fillId="0" borderId="8" xfId="0" applyFont="1" applyBorder="1"/>
    <xf numFmtId="0" fontId="6" fillId="0" borderId="1" xfId="0" applyFont="1" applyBorder="1" applyAlignment="1">
      <alignment horizontal="center"/>
    </xf>
    <xf numFmtId="0" fontId="5" fillId="0" borderId="1" xfId="2" applyFont="1" applyBorder="1"/>
    <xf numFmtId="0" fontId="6" fillId="0" borderId="10" xfId="0" applyFont="1" applyBorder="1"/>
    <xf numFmtId="0" fontId="6" fillId="0" borderId="13" xfId="0" applyFont="1" applyBorder="1" applyAlignment="1">
      <alignment horizontal="center"/>
    </xf>
    <xf numFmtId="0" fontId="5" fillId="0" borderId="13" xfId="2" applyFont="1" applyBorder="1"/>
    <xf numFmtId="0" fontId="6" fillId="0" borderId="14" xfId="0" applyFont="1" applyBorder="1"/>
    <xf numFmtId="0" fontId="7" fillId="0" borderId="0" xfId="0" applyFont="1"/>
    <xf numFmtId="0" fontId="6" fillId="0" borderId="2" xfId="0" applyFont="1" applyBorder="1"/>
    <xf numFmtId="0" fontId="5" fillId="0" borderId="2" xfId="0" applyFont="1" applyBorder="1"/>
    <xf numFmtId="0" fontId="5" fillId="0" borderId="2" xfId="0" applyFont="1" applyBorder="1" applyAlignment="1">
      <alignment horizontal="center"/>
    </xf>
    <xf numFmtId="49" fontId="6" fillId="0" borderId="22" xfId="0" applyNumberFormat="1" applyFont="1" applyBorder="1" applyAlignment="1">
      <alignment horizontal="left"/>
    </xf>
    <xf numFmtId="0" fontId="8" fillId="0" borderId="0" xfId="0" applyFont="1"/>
    <xf numFmtId="0" fontId="5" fillId="4" borderId="1" xfId="0" applyFont="1" applyFill="1" applyBorder="1" applyAlignment="1">
      <alignment wrapText="1"/>
    </xf>
    <xf numFmtId="0" fontId="5" fillId="4" borderId="1" xfId="0" applyFont="1" applyFill="1" applyBorder="1"/>
    <xf numFmtId="0" fontId="6" fillId="4" borderId="1" xfId="0" applyFont="1" applyFill="1" applyBorder="1"/>
    <xf numFmtId="49" fontId="6" fillId="4" borderId="1" xfId="0" applyNumberFormat="1" applyFont="1" applyFill="1" applyBorder="1" applyAlignment="1">
      <alignment horizontal="left" wrapText="1"/>
    </xf>
    <xf numFmtId="0" fontId="6" fillId="4" borderId="1" xfId="0" applyFont="1" applyFill="1" applyBorder="1" applyAlignment="1">
      <alignment wrapText="1"/>
    </xf>
    <xf numFmtId="0" fontId="9" fillId="0" borderId="1" xfId="0" applyFont="1" applyBorder="1" applyAlignment="1">
      <alignment horizontal="left" vertical="center"/>
    </xf>
    <xf numFmtId="0" fontId="10" fillId="0" borderId="1" xfId="0" applyFont="1" applyBorder="1"/>
    <xf numFmtId="49" fontId="6" fillId="0" borderId="1" xfId="0" applyNumberFormat="1" applyFont="1" applyBorder="1" applyAlignment="1">
      <alignment horizontal="left"/>
    </xf>
    <xf numFmtId="0" fontId="10" fillId="0" borderId="4" xfId="2" applyFont="1" applyBorder="1"/>
    <xf numFmtId="0" fontId="6" fillId="0" borderId="4" xfId="0" applyFont="1" applyBorder="1"/>
    <xf numFmtId="49" fontId="6" fillId="0" borderId="4" xfId="0" applyNumberFormat="1" applyFont="1" applyBorder="1" applyAlignment="1">
      <alignment horizontal="left"/>
    </xf>
    <xf numFmtId="0" fontId="9" fillId="0" borderId="4" xfId="0" applyFont="1" applyBorder="1" applyAlignment="1">
      <alignment horizontal="left" vertical="center"/>
    </xf>
    <xf numFmtId="0" fontId="5" fillId="0" borderId="4" xfId="0" quotePrefix="1" applyFont="1" applyBorder="1"/>
    <xf numFmtId="0" fontId="5" fillId="0" borderId="4" xfId="0" applyFont="1" applyBorder="1"/>
    <xf numFmtId="0" fontId="5" fillId="0" borderId="4" xfId="2" applyFont="1" applyBorder="1"/>
    <xf numFmtId="0" fontId="5" fillId="0" borderId="1" xfId="0" quotePrefix="1" applyFont="1" applyBorder="1"/>
    <xf numFmtId="0" fontId="10" fillId="0" borderId="1" xfId="2" applyFont="1" applyBorder="1"/>
    <xf numFmtId="0" fontId="6" fillId="0" borderId="1" xfId="2" applyFont="1" applyBorder="1"/>
    <xf numFmtId="0" fontId="5" fillId="2" borderId="1" xfId="0" applyFont="1" applyFill="1" applyBorder="1"/>
    <xf numFmtId="0" fontId="11" fillId="2" borderId="0" xfId="1" applyFont="1" applyFill="1">
      <alignment vertical="center"/>
    </xf>
    <xf numFmtId="0" fontId="11" fillId="2" borderId="0" xfId="1" applyFont="1" applyFill="1" applyAlignment="1">
      <alignment vertical="center" wrapText="1"/>
    </xf>
    <xf numFmtId="0" fontId="13" fillId="2" borderId="0" xfId="1" applyFont="1" applyFill="1">
      <alignment vertical="center"/>
    </xf>
    <xf numFmtId="0" fontId="13" fillId="2" borderId="0" xfId="1" applyFont="1" applyFill="1" applyAlignment="1">
      <alignment vertical="center" wrapText="1"/>
    </xf>
    <xf numFmtId="0" fontId="14" fillId="6" borderId="1" xfId="1" applyFont="1" applyFill="1" applyBorder="1">
      <alignment vertical="center"/>
    </xf>
    <xf numFmtId="0" fontId="14" fillId="6" borderId="1" xfId="1" applyFont="1" applyFill="1" applyBorder="1" applyAlignment="1">
      <alignment vertical="center" wrapText="1"/>
    </xf>
    <xf numFmtId="14" fontId="13" fillId="2" borderId="1" xfId="1" quotePrefix="1" applyNumberFormat="1" applyFont="1" applyFill="1" applyBorder="1">
      <alignment vertical="center"/>
    </xf>
    <xf numFmtId="0" fontId="13" fillId="2" borderId="1" xfId="1" applyFont="1" applyFill="1" applyBorder="1">
      <alignment vertical="center"/>
    </xf>
    <xf numFmtId="0" fontId="13" fillId="2" borderId="1" xfId="1" applyFont="1" applyFill="1" applyBorder="1" applyAlignment="1">
      <alignment vertical="center" wrapText="1"/>
    </xf>
    <xf numFmtId="0" fontId="13" fillId="2" borderId="1" xfId="1" quotePrefix="1" applyFont="1" applyFill="1" applyBorder="1">
      <alignment vertical="center"/>
    </xf>
    <xf numFmtId="14" fontId="13" fillId="2" borderId="1" xfId="1" quotePrefix="1" applyNumberFormat="1" applyFont="1" applyFill="1" applyBorder="1" applyAlignment="1">
      <alignment horizontal="right" vertical="center"/>
    </xf>
    <xf numFmtId="0" fontId="13" fillId="2" borderId="1" xfId="1" quotePrefix="1" applyFont="1" applyFill="1" applyBorder="1" applyAlignment="1">
      <alignment vertical="center" wrapText="1"/>
    </xf>
    <xf numFmtId="0" fontId="15" fillId="2" borderId="0" xfId="1" applyFont="1" applyFill="1">
      <alignment vertical="center"/>
    </xf>
    <xf numFmtId="0" fontId="15" fillId="2" borderId="0" xfId="1" applyFont="1" applyFill="1" applyAlignment="1">
      <alignment vertical="center" wrapText="1"/>
    </xf>
    <xf numFmtId="49" fontId="4" fillId="7" borderId="1" xfId="0" applyNumberFormat="1" applyFont="1" applyFill="1" applyBorder="1" applyAlignment="1">
      <alignment horizontal="left"/>
    </xf>
    <xf numFmtId="0" fontId="6" fillId="7" borderId="0" xfId="0" applyFont="1" applyFill="1" applyAlignment="1">
      <alignment wrapText="1"/>
    </xf>
    <xf numFmtId="0" fontId="5" fillId="0" borderId="9" xfId="0" applyFont="1" applyBorder="1" applyAlignment="1">
      <alignment horizontal="center" vertical="center"/>
    </xf>
    <xf numFmtId="49" fontId="6" fillId="8" borderId="10" xfId="0" applyNumberFormat="1" applyFont="1" applyFill="1" applyBorder="1" applyAlignment="1">
      <alignment horizontal="left"/>
    </xf>
    <xf numFmtId="0" fontId="6" fillId="8" borderId="1" xfId="0" applyFont="1" applyFill="1" applyBorder="1"/>
    <xf numFmtId="0" fontId="5" fillId="8" borderId="1" xfId="0" applyFont="1" applyFill="1" applyBorder="1"/>
    <xf numFmtId="0" fontId="5" fillId="8" borderId="2" xfId="0" applyFont="1" applyFill="1" applyBorder="1"/>
    <xf numFmtId="0" fontId="6" fillId="8" borderId="2" xfId="0" applyFont="1" applyFill="1" applyBorder="1" applyAlignment="1">
      <alignment horizontal="center"/>
    </xf>
    <xf numFmtId="0" fontId="5" fillId="8" borderId="2" xfId="2" applyFont="1" applyFill="1" applyBorder="1"/>
    <xf numFmtId="0" fontId="6" fillId="8" borderId="2" xfId="0" applyFont="1" applyFill="1" applyBorder="1"/>
    <xf numFmtId="0" fontId="6" fillId="8" borderId="22" xfId="0" applyFont="1" applyFill="1" applyBorder="1"/>
    <xf numFmtId="49" fontId="6" fillId="8" borderId="22" xfId="0" applyNumberFormat="1" applyFont="1" applyFill="1" applyBorder="1" applyAlignment="1">
      <alignment horizontal="left"/>
    </xf>
    <xf numFmtId="0" fontId="7" fillId="0" borderId="3" xfId="0" applyFont="1" applyBorder="1"/>
    <xf numFmtId="0" fontId="5" fillId="0" borderId="24" xfId="0" applyFont="1" applyBorder="1"/>
    <xf numFmtId="0" fontId="5" fillId="5" borderId="23" xfId="0" applyFont="1" applyFill="1" applyBorder="1"/>
    <xf numFmtId="0" fontId="5" fillId="0" borderId="23" xfId="0" applyFont="1" applyBorder="1"/>
    <xf numFmtId="0" fontId="5" fillId="0" borderId="25" xfId="0" applyFont="1" applyBorder="1"/>
    <xf numFmtId="0" fontId="5" fillId="0" borderId="23" xfId="2" applyFont="1" applyBorder="1"/>
    <xf numFmtId="0" fontId="5" fillId="0" borderId="26" xfId="0" applyFont="1" applyBorder="1"/>
    <xf numFmtId="0" fontId="9" fillId="0" borderId="1" xfId="0" applyFont="1" applyBorder="1" applyAlignment="1">
      <alignment vertical="center" wrapText="1"/>
    </xf>
    <xf numFmtId="0" fontId="5" fillId="4" borderId="27" xfId="0" applyFont="1" applyFill="1" applyBorder="1" applyAlignment="1">
      <alignment wrapText="1"/>
    </xf>
    <xf numFmtId="49" fontId="6" fillId="0" borderId="14" xfId="0" applyNumberFormat="1" applyFont="1" applyBorder="1" applyAlignment="1">
      <alignment horizontal="left" wrapText="1"/>
    </xf>
    <xf numFmtId="176" fontId="6" fillId="0" borderId="1" xfId="0" applyNumberFormat="1" applyFont="1" applyBorder="1"/>
    <xf numFmtId="49" fontId="6" fillId="0" borderId="8" xfId="0" applyNumberFormat="1" applyFont="1" applyBorder="1"/>
    <xf numFmtId="0" fontId="9" fillId="0" borderId="28" xfId="0" applyFont="1" applyBorder="1" applyAlignment="1">
      <alignment vertical="center" wrapText="1"/>
    </xf>
    <xf numFmtId="0" fontId="6" fillId="0" borderId="23" xfId="0" applyFont="1" applyBorder="1"/>
    <xf numFmtId="49" fontId="6" fillId="0" borderId="23" xfId="0" applyNumberFormat="1" applyFont="1" applyBorder="1" applyAlignment="1">
      <alignment wrapText="1"/>
    </xf>
    <xf numFmtId="0" fontId="9" fillId="0" borderId="2" xfId="0" applyFont="1" applyBorder="1" applyAlignment="1">
      <alignment horizontal="left" vertical="center"/>
    </xf>
    <xf numFmtId="49" fontId="6" fillId="0" borderId="2" xfId="0" applyNumberFormat="1" applyFont="1" applyBorder="1" applyAlignment="1">
      <alignment horizontal="left"/>
    </xf>
    <xf numFmtId="0" fontId="16" fillId="0" borderId="29" xfId="0" applyFont="1" applyBorder="1" applyAlignment="1">
      <alignment vertical="top"/>
    </xf>
    <xf numFmtId="0" fontId="16" fillId="9" borderId="30" xfId="0" applyFont="1" applyFill="1" applyBorder="1" applyAlignment="1">
      <alignment vertical="top"/>
    </xf>
    <xf numFmtId="0" fontId="17" fillId="10" borderId="32" xfId="0" applyFont="1" applyFill="1" applyBorder="1" applyAlignment="1">
      <alignment vertical="top"/>
    </xf>
    <xf numFmtId="0" fontId="17" fillId="10" borderId="33" xfId="0" applyFont="1" applyFill="1" applyBorder="1" applyAlignment="1">
      <alignment vertical="top"/>
    </xf>
    <xf numFmtId="0" fontId="19" fillId="11" borderId="33" xfId="0" applyFont="1" applyFill="1" applyBorder="1" applyAlignment="1">
      <alignment vertical="top" wrapText="1"/>
    </xf>
    <xf numFmtId="0" fontId="17" fillId="12" borderId="32" xfId="0" applyFont="1" applyFill="1" applyBorder="1" applyAlignment="1">
      <alignment vertical="top"/>
    </xf>
    <xf numFmtId="0" fontId="17" fillId="12" borderId="33" xfId="0" applyFont="1" applyFill="1" applyBorder="1" applyAlignment="1">
      <alignment vertical="top"/>
    </xf>
    <xf numFmtId="0" fontId="20" fillId="13" borderId="33" xfId="0" applyFont="1" applyFill="1" applyBorder="1" applyAlignment="1">
      <alignment vertical="top" wrapText="1"/>
    </xf>
    <xf numFmtId="0" fontId="21" fillId="11" borderId="33" xfId="0" applyFont="1" applyFill="1" applyBorder="1" applyAlignment="1">
      <alignment vertical="top" wrapText="1"/>
    </xf>
    <xf numFmtId="0" fontId="18" fillId="11" borderId="33" xfId="0" applyFont="1" applyFill="1" applyBorder="1" applyAlignment="1">
      <alignment vertical="top" wrapText="1"/>
    </xf>
    <xf numFmtId="0" fontId="18" fillId="11" borderId="33" xfId="0" quotePrefix="1" applyFont="1" applyFill="1" applyBorder="1" applyAlignment="1">
      <alignment vertical="top" wrapText="1"/>
    </xf>
    <xf numFmtId="0" fontId="21" fillId="14" borderId="33" xfId="0" applyFont="1" applyFill="1" applyBorder="1" applyAlignment="1">
      <alignment vertical="top" wrapText="1"/>
    </xf>
    <xf numFmtId="0" fontId="22" fillId="14" borderId="33" xfId="0" applyFont="1" applyFill="1" applyBorder="1" applyAlignment="1">
      <alignment vertical="top" wrapText="1"/>
    </xf>
    <xf numFmtId="0" fontId="0" fillId="0" borderId="10" xfId="0" applyBorder="1"/>
    <xf numFmtId="49" fontId="6" fillId="0" borderId="36" xfId="0" applyNumberFormat="1" applyFont="1" applyBorder="1" applyAlignment="1">
      <alignment horizontal="left"/>
    </xf>
    <xf numFmtId="0" fontId="23" fillId="0" borderId="1" xfId="0" applyFont="1" applyBorder="1" applyAlignment="1">
      <alignment vertical="center"/>
    </xf>
    <xf numFmtId="0" fontId="23" fillId="0" borderId="2" xfId="0" applyFont="1" applyBorder="1" applyAlignment="1">
      <alignment vertical="center"/>
    </xf>
    <xf numFmtId="0" fontId="4" fillId="0" borderId="1" xfId="0" applyFont="1" applyBorder="1" applyAlignment="1">
      <alignment vertical="center"/>
    </xf>
    <xf numFmtId="0" fontId="6" fillId="0" borderId="1" xfId="0" applyFont="1" applyBorder="1" applyAlignment="1">
      <alignment vertical="center"/>
    </xf>
    <xf numFmtId="49" fontId="6" fillId="0" borderId="1" xfId="0" applyNumberFormat="1" applyFont="1" applyBorder="1" applyAlignment="1">
      <alignment horizontal="left" vertical="center"/>
    </xf>
    <xf numFmtId="0" fontId="5" fillId="0" borderId="1" xfId="0" applyFont="1" applyBorder="1" applyAlignment="1">
      <alignment vertical="center"/>
    </xf>
    <xf numFmtId="0" fontId="5" fillId="0" borderId="2" xfId="0" applyFont="1" applyBorder="1" applyAlignment="1">
      <alignment vertical="center"/>
    </xf>
    <xf numFmtId="0" fontId="6" fillId="0" borderId="4" xfId="0" applyFont="1" applyBorder="1" applyAlignment="1">
      <alignment vertical="center"/>
    </xf>
    <xf numFmtId="0" fontId="4" fillId="0" borderId="2" xfId="0" applyFont="1" applyBorder="1" applyAlignment="1">
      <alignment vertical="center"/>
    </xf>
    <xf numFmtId="0" fontId="6" fillId="0" borderId="1" xfId="0" applyFont="1" applyBorder="1" applyAlignment="1">
      <alignment wrapText="1"/>
    </xf>
    <xf numFmtId="0" fontId="6" fillId="0" borderId="1" xfId="0" quotePrefix="1" applyFont="1" applyBorder="1"/>
    <xf numFmtId="0" fontId="6" fillId="0" borderId="1" xfId="0" quotePrefix="1" applyFont="1" applyBorder="1" applyAlignment="1">
      <alignment wrapText="1"/>
    </xf>
    <xf numFmtId="0" fontId="6" fillId="0" borderId="1" xfId="0" applyFont="1" applyBorder="1" applyAlignment="1">
      <alignment horizontal="left" vertical="center"/>
    </xf>
    <xf numFmtId="49" fontId="6" fillId="0" borderId="22" xfId="0" applyNumberFormat="1" applyFont="1" applyBorder="1" applyAlignment="1">
      <alignment horizontal="left" wrapText="1"/>
    </xf>
    <xf numFmtId="0" fontId="5" fillId="0" borderId="26" xfId="0" applyFont="1" applyBorder="1" applyAlignment="1">
      <alignment vertical="top"/>
    </xf>
    <xf numFmtId="0" fontId="5" fillId="0" borderId="2" xfId="0" applyFont="1" applyBorder="1" applyAlignment="1">
      <alignment horizontal="center" vertical="top"/>
    </xf>
    <xf numFmtId="0" fontId="5" fillId="0" borderId="2" xfId="0" applyFont="1" applyBorder="1" applyAlignment="1">
      <alignment vertical="top"/>
    </xf>
    <xf numFmtId="0" fontId="6" fillId="0" borderId="2" xfId="0" applyFont="1" applyBorder="1" applyAlignment="1">
      <alignment vertical="top"/>
    </xf>
    <xf numFmtId="49" fontId="6" fillId="0" borderId="22" xfId="0" applyNumberFormat="1" applyFont="1" applyBorder="1" applyAlignment="1">
      <alignment horizontal="left" vertical="top"/>
    </xf>
    <xf numFmtId="0" fontId="0" fillId="0" borderId="0" xfId="0" applyAlignment="1">
      <alignment wrapText="1"/>
    </xf>
    <xf numFmtId="0" fontId="4" fillId="0" borderId="0" xfId="0" applyFont="1"/>
    <xf numFmtId="0" fontId="5" fillId="0" borderId="1" xfId="0" applyFont="1" applyBorder="1" applyAlignment="1">
      <alignment wrapText="1"/>
    </xf>
    <xf numFmtId="49" fontId="6" fillId="0" borderId="1" xfId="0" applyNumberFormat="1" applyFont="1" applyBorder="1" applyAlignment="1">
      <alignment horizontal="left" wrapText="1"/>
    </xf>
    <xf numFmtId="0" fontId="5" fillId="0" borderId="2" xfId="2" applyFont="1" applyBorder="1"/>
    <xf numFmtId="0" fontId="6" fillId="0" borderId="22" xfId="0" applyFont="1" applyBorder="1"/>
    <xf numFmtId="49" fontId="6" fillId="0" borderId="37" xfId="0" applyNumberFormat="1" applyFont="1" applyBorder="1" applyAlignment="1">
      <alignment horizontal="left"/>
    </xf>
    <xf numFmtId="0" fontId="17" fillId="12" borderId="34" xfId="0" applyFont="1" applyFill="1" applyBorder="1" applyAlignment="1">
      <alignment horizontal="left" vertical="top"/>
    </xf>
    <xf numFmtId="0" fontId="17" fillId="12" borderId="35" xfId="0" applyFont="1" applyFill="1" applyBorder="1" applyAlignment="1">
      <alignment horizontal="left" vertical="top"/>
    </xf>
    <xf numFmtId="0" fontId="16" fillId="9" borderId="31" xfId="0" applyFont="1" applyFill="1" applyBorder="1" applyAlignment="1">
      <alignment vertical="top" wrapText="1"/>
    </xf>
    <xf numFmtId="0" fontId="16" fillId="9" borderId="30" xfId="0" applyFont="1" applyFill="1" applyBorder="1" applyAlignment="1">
      <alignment vertical="top" wrapText="1"/>
    </xf>
    <xf numFmtId="0" fontId="18" fillId="11" borderId="31" xfId="0" quotePrefix="1" applyFont="1" applyFill="1" applyBorder="1" applyAlignment="1">
      <alignment vertical="center" wrapText="1"/>
    </xf>
    <xf numFmtId="0" fontId="18" fillId="11" borderId="31" xfId="0" applyFont="1" applyFill="1" applyBorder="1" applyAlignment="1">
      <alignment vertical="center" wrapText="1"/>
    </xf>
    <xf numFmtId="0" fontId="18" fillId="11" borderId="30" xfId="0" applyFont="1" applyFill="1" applyBorder="1" applyAlignment="1">
      <alignment vertical="center" wrapText="1"/>
    </xf>
    <xf numFmtId="0" fontId="5" fillId="0" borderId="15" xfId="0" applyFont="1" applyBorder="1" applyAlignment="1">
      <alignment horizontal="center" vertical="center"/>
    </xf>
    <xf numFmtId="0" fontId="6" fillId="0" borderId="7" xfId="0" applyFont="1" applyBorder="1" applyAlignment="1">
      <alignment horizontal="center" vertical="center"/>
    </xf>
    <xf numFmtId="0" fontId="6" fillId="0" borderId="16" xfId="0" applyFont="1" applyBorder="1" applyAlignment="1">
      <alignment horizontal="center" vertical="center"/>
    </xf>
    <xf numFmtId="0" fontId="6" fillId="0" borderId="1" xfId="0" applyFont="1" applyBorder="1" applyAlignment="1">
      <alignment horizontal="center" vertical="center"/>
    </xf>
    <xf numFmtId="0" fontId="6" fillId="0" borderId="17" xfId="0" applyFont="1" applyBorder="1" applyAlignment="1">
      <alignment horizontal="center" vertical="center"/>
    </xf>
    <xf numFmtId="0" fontId="6" fillId="0" borderId="13" xfId="0" applyFont="1" applyBorder="1" applyAlignment="1">
      <alignment horizontal="center" vertical="center"/>
    </xf>
    <xf numFmtId="0" fontId="5" fillId="0" borderId="16" xfId="0" applyFont="1" applyBorder="1" applyAlignment="1">
      <alignment horizontal="center" vertical="center"/>
    </xf>
    <xf numFmtId="0" fontId="5" fillId="0" borderId="21" xfId="0" applyFont="1" applyBorder="1" applyAlignment="1">
      <alignment horizontal="center" vertical="center"/>
    </xf>
    <xf numFmtId="0" fontId="5" fillId="0" borderId="17"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5" fillId="0" borderId="6" xfId="0" applyFont="1" applyBorder="1" applyAlignment="1">
      <alignment horizontal="center" vertical="center"/>
    </xf>
    <xf numFmtId="0" fontId="5" fillId="0" borderId="3" xfId="0" applyFont="1" applyBorder="1" applyAlignment="1">
      <alignment horizontal="center" vertical="center"/>
    </xf>
    <xf numFmtId="0" fontId="5" fillId="0" borderId="12" xfId="0" applyFont="1" applyBorder="1" applyAlignment="1">
      <alignment horizontal="center" vertical="center"/>
    </xf>
    <xf numFmtId="0" fontId="5" fillId="0" borderId="5"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6" fillId="0" borderId="6" xfId="0" applyFont="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6" fillId="0" borderId="1" xfId="0" applyFont="1" applyBorder="1" applyAlignment="1">
      <alignment horizontal="center"/>
    </xf>
    <xf numFmtId="0" fontId="5" fillId="0" borderId="1" xfId="0" applyFont="1" applyBorder="1" applyAlignment="1">
      <alignment horizontal="center" vertical="center"/>
    </xf>
  </cellXfs>
  <cellStyles count="3">
    <cellStyle name="標準" xfId="0" builtinId="0"/>
    <cellStyle name="標準 2" xfId="1" xr:uid="{40251804-E9E9-43A3-956E-E079063D14C4}"/>
    <cellStyle name="標準 4" xfId="2" xr:uid="{965AAE8D-7E1A-4798-B53C-4043C6350A54}"/>
  </cellStyles>
  <dxfs count="24">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
      <font>
        <strike val="0"/>
        <color rgb="FFFF0000"/>
      </font>
      <fill>
        <patternFill>
          <bgColor rgb="FFFFC1C1"/>
        </patternFill>
      </fill>
    </dxf>
    <dxf>
      <font>
        <color auto="1"/>
      </font>
      <fill>
        <patternFill>
          <bgColor theme="7" tint="0.79998168889431442"/>
        </patternFill>
      </fill>
    </dxf>
  </dxfs>
  <tableStyles count="0" defaultTableStyle="TableStyleMedium2" defaultPivotStyle="PivotStyleLight16"/>
  <colors>
    <mruColors>
      <color rgb="FF6DB2BF"/>
      <color rgb="FFE2F0F3"/>
      <color rgb="FF167F92"/>
      <color rgb="FF438C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3.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5</xdr:col>
      <xdr:colOff>57150</xdr:colOff>
      <xdr:row>7</xdr:row>
      <xdr:rowOff>1714500</xdr:rowOff>
    </xdr:from>
    <xdr:to>
      <xdr:col>5</xdr:col>
      <xdr:colOff>4543425</xdr:colOff>
      <xdr:row>7</xdr:row>
      <xdr:rowOff>2420415</xdr:rowOff>
    </xdr:to>
    <xdr:pic>
      <xdr:nvPicPr>
        <xdr:cNvPr id="5" name="図 4">
          <a:extLst>
            <a:ext uri="{FF2B5EF4-FFF2-40B4-BE49-F238E27FC236}">
              <a16:creationId xmlns:a16="http://schemas.microsoft.com/office/drawing/2014/main" id="{C370D271-DF2F-969B-FDEE-3ADB0EF37C49}"/>
            </a:ext>
          </a:extLst>
        </xdr:cNvPr>
        <xdr:cNvPicPr>
          <a:picLocks noChangeAspect="1"/>
        </xdr:cNvPicPr>
      </xdr:nvPicPr>
      <xdr:blipFill>
        <a:blip xmlns:r="http://schemas.openxmlformats.org/officeDocument/2006/relationships" r:embed="rId1"/>
        <a:stretch>
          <a:fillRect/>
        </a:stretch>
      </xdr:blipFill>
      <xdr:spPr>
        <a:xfrm>
          <a:off x="9363075" y="3324225"/>
          <a:ext cx="4486275" cy="705915"/>
        </a:xfrm>
        <a:prstGeom prst="rect">
          <a:avLst/>
        </a:prstGeom>
      </xdr:spPr>
    </xdr:pic>
    <xdr:clientData/>
  </xdr:twoCellAnchor>
  <xdr:twoCellAnchor editAs="oneCell">
    <xdr:from>
      <xdr:col>5</xdr:col>
      <xdr:colOff>28575</xdr:colOff>
      <xdr:row>8</xdr:row>
      <xdr:rowOff>247650</xdr:rowOff>
    </xdr:from>
    <xdr:to>
      <xdr:col>5</xdr:col>
      <xdr:colOff>4467225</xdr:colOff>
      <xdr:row>8</xdr:row>
      <xdr:rowOff>2422615</xdr:rowOff>
    </xdr:to>
    <xdr:pic>
      <xdr:nvPicPr>
        <xdr:cNvPr id="6" name="図 5">
          <a:extLst>
            <a:ext uri="{FF2B5EF4-FFF2-40B4-BE49-F238E27FC236}">
              <a16:creationId xmlns:a16="http://schemas.microsoft.com/office/drawing/2014/main" id="{368F11C4-DFA1-01E6-A073-4656F8375BCD}"/>
            </a:ext>
          </a:extLst>
        </xdr:cNvPr>
        <xdr:cNvPicPr>
          <a:picLocks noChangeAspect="1"/>
        </xdr:cNvPicPr>
      </xdr:nvPicPr>
      <xdr:blipFill>
        <a:blip xmlns:r="http://schemas.openxmlformats.org/officeDocument/2006/relationships" r:embed="rId2"/>
        <a:stretch>
          <a:fillRect/>
        </a:stretch>
      </xdr:blipFill>
      <xdr:spPr>
        <a:xfrm>
          <a:off x="9334500" y="4371975"/>
          <a:ext cx="4438650" cy="2174965"/>
        </a:xfrm>
        <a:prstGeom prst="rect">
          <a:avLst/>
        </a:prstGeom>
      </xdr:spPr>
    </xdr:pic>
    <xdr:clientData/>
  </xdr:twoCellAnchor>
  <xdr:twoCellAnchor editAs="oneCell">
    <xdr:from>
      <xdr:col>5</xdr:col>
      <xdr:colOff>161926</xdr:colOff>
      <xdr:row>11</xdr:row>
      <xdr:rowOff>1009651</xdr:rowOff>
    </xdr:from>
    <xdr:to>
      <xdr:col>5</xdr:col>
      <xdr:colOff>3700842</xdr:colOff>
      <xdr:row>11</xdr:row>
      <xdr:rowOff>4133851</xdr:rowOff>
    </xdr:to>
    <xdr:pic>
      <xdr:nvPicPr>
        <xdr:cNvPr id="7" name="図 6">
          <a:extLst>
            <a:ext uri="{FF2B5EF4-FFF2-40B4-BE49-F238E27FC236}">
              <a16:creationId xmlns:a16="http://schemas.microsoft.com/office/drawing/2014/main" id="{33572D49-5CEA-584B-C583-A7148C543B3C}"/>
            </a:ext>
          </a:extLst>
        </xdr:cNvPr>
        <xdr:cNvPicPr>
          <a:picLocks noChangeAspect="1"/>
        </xdr:cNvPicPr>
      </xdr:nvPicPr>
      <xdr:blipFill>
        <a:blip xmlns:r="http://schemas.openxmlformats.org/officeDocument/2006/relationships" r:embed="rId3"/>
        <a:stretch>
          <a:fillRect/>
        </a:stretch>
      </xdr:blipFill>
      <xdr:spPr>
        <a:xfrm>
          <a:off x="9467851" y="7734301"/>
          <a:ext cx="3538916" cy="3124200"/>
        </a:xfrm>
        <a:prstGeom prst="rect">
          <a:avLst/>
        </a:prstGeom>
      </xdr:spPr>
    </xdr:pic>
    <xdr:clientData/>
  </xdr:twoCellAnchor>
  <xdr:twoCellAnchor editAs="oneCell">
    <xdr:from>
      <xdr:col>5</xdr:col>
      <xdr:colOff>171450</xdr:colOff>
      <xdr:row>12</xdr:row>
      <xdr:rowOff>323850</xdr:rowOff>
    </xdr:from>
    <xdr:to>
      <xdr:col>5</xdr:col>
      <xdr:colOff>3726778</xdr:colOff>
      <xdr:row>12</xdr:row>
      <xdr:rowOff>3400425</xdr:rowOff>
    </xdr:to>
    <xdr:pic>
      <xdr:nvPicPr>
        <xdr:cNvPr id="9" name="図 8">
          <a:extLst>
            <a:ext uri="{FF2B5EF4-FFF2-40B4-BE49-F238E27FC236}">
              <a16:creationId xmlns:a16="http://schemas.microsoft.com/office/drawing/2014/main" id="{25C2035B-E0E9-DEBE-9571-1E15EDC55F89}"/>
            </a:ext>
          </a:extLst>
        </xdr:cNvPr>
        <xdr:cNvPicPr>
          <a:picLocks noChangeAspect="1"/>
        </xdr:cNvPicPr>
      </xdr:nvPicPr>
      <xdr:blipFill>
        <a:blip xmlns:r="http://schemas.openxmlformats.org/officeDocument/2006/relationships" r:embed="rId4"/>
        <a:stretch>
          <a:fillRect/>
        </a:stretch>
      </xdr:blipFill>
      <xdr:spPr>
        <a:xfrm>
          <a:off x="9477375" y="11372850"/>
          <a:ext cx="3555328" cy="3076575"/>
        </a:xfrm>
        <a:prstGeom prst="rect">
          <a:avLst/>
        </a:prstGeom>
      </xdr:spPr>
    </xdr:pic>
    <xdr:clientData/>
  </xdr:twoCellAnchor>
  <xdr:twoCellAnchor editAs="oneCell">
    <xdr:from>
      <xdr:col>5</xdr:col>
      <xdr:colOff>154781</xdr:colOff>
      <xdr:row>20</xdr:row>
      <xdr:rowOff>1071561</xdr:rowOff>
    </xdr:from>
    <xdr:to>
      <xdr:col>5</xdr:col>
      <xdr:colOff>4286250</xdr:colOff>
      <xdr:row>20</xdr:row>
      <xdr:rowOff>2186454</xdr:rowOff>
    </xdr:to>
    <xdr:pic>
      <xdr:nvPicPr>
        <xdr:cNvPr id="11" name="図 10">
          <a:extLst>
            <a:ext uri="{FF2B5EF4-FFF2-40B4-BE49-F238E27FC236}">
              <a16:creationId xmlns:a16="http://schemas.microsoft.com/office/drawing/2014/main" id="{5BC5B37D-80B8-48E4-A090-BC74822AD1E2}"/>
            </a:ext>
          </a:extLst>
        </xdr:cNvPr>
        <xdr:cNvPicPr>
          <a:picLocks noChangeAspect="1"/>
        </xdr:cNvPicPr>
      </xdr:nvPicPr>
      <xdr:blipFill>
        <a:blip xmlns:r="http://schemas.openxmlformats.org/officeDocument/2006/relationships" r:embed="rId5"/>
        <a:stretch>
          <a:fillRect/>
        </a:stretch>
      </xdr:blipFill>
      <xdr:spPr>
        <a:xfrm>
          <a:off x="9444831" y="2411411"/>
          <a:ext cx="4131469" cy="810093"/>
        </a:xfrm>
        <a:prstGeom prst="rect">
          <a:avLst/>
        </a:prstGeom>
      </xdr:spPr>
    </xdr:pic>
    <xdr:clientData/>
  </xdr:twoCellAnchor>
  <xdr:twoCellAnchor editAs="oneCell">
    <xdr:from>
      <xdr:col>5</xdr:col>
      <xdr:colOff>133350</xdr:colOff>
      <xdr:row>21</xdr:row>
      <xdr:rowOff>333375</xdr:rowOff>
    </xdr:from>
    <xdr:to>
      <xdr:col>5</xdr:col>
      <xdr:colOff>4133850</xdr:colOff>
      <xdr:row>21</xdr:row>
      <xdr:rowOff>2977444</xdr:rowOff>
    </xdr:to>
    <xdr:pic>
      <xdr:nvPicPr>
        <xdr:cNvPr id="12" name="図 11">
          <a:extLst>
            <a:ext uri="{FF2B5EF4-FFF2-40B4-BE49-F238E27FC236}">
              <a16:creationId xmlns:a16="http://schemas.microsoft.com/office/drawing/2014/main" id="{3D517FFD-BF8F-481E-B12A-49FD7B1B95B2}"/>
            </a:ext>
          </a:extLst>
        </xdr:cNvPr>
        <xdr:cNvPicPr>
          <a:picLocks noChangeAspect="1"/>
        </xdr:cNvPicPr>
      </xdr:nvPicPr>
      <xdr:blipFill>
        <a:blip xmlns:r="http://schemas.openxmlformats.org/officeDocument/2006/relationships" r:embed="rId6"/>
        <a:stretch>
          <a:fillRect/>
        </a:stretch>
      </xdr:blipFill>
      <xdr:spPr>
        <a:xfrm>
          <a:off x="9423400" y="3787775"/>
          <a:ext cx="4000500" cy="2047169"/>
        </a:xfrm>
        <a:prstGeom prst="rect">
          <a:avLst/>
        </a:prstGeom>
      </xdr:spPr>
    </xdr:pic>
    <xdr:clientData/>
  </xdr:twoCellAnchor>
  <xdr:twoCellAnchor editAs="oneCell">
    <xdr:from>
      <xdr:col>5</xdr:col>
      <xdr:colOff>85726</xdr:colOff>
      <xdr:row>26</xdr:row>
      <xdr:rowOff>533400</xdr:rowOff>
    </xdr:from>
    <xdr:to>
      <xdr:col>5</xdr:col>
      <xdr:colOff>3464662</xdr:colOff>
      <xdr:row>26</xdr:row>
      <xdr:rowOff>3844925</xdr:rowOff>
    </xdr:to>
    <xdr:pic>
      <xdr:nvPicPr>
        <xdr:cNvPr id="13" name="図 12">
          <a:extLst>
            <a:ext uri="{FF2B5EF4-FFF2-40B4-BE49-F238E27FC236}">
              <a16:creationId xmlns:a16="http://schemas.microsoft.com/office/drawing/2014/main" id="{8F88D2B6-06F6-4001-BED6-F74D9BBEEE46}"/>
            </a:ext>
          </a:extLst>
        </xdr:cNvPr>
        <xdr:cNvPicPr>
          <a:picLocks noChangeAspect="1"/>
        </xdr:cNvPicPr>
      </xdr:nvPicPr>
      <xdr:blipFill>
        <a:blip xmlns:r="http://schemas.openxmlformats.org/officeDocument/2006/relationships" r:embed="rId7"/>
        <a:stretch>
          <a:fillRect/>
        </a:stretch>
      </xdr:blipFill>
      <xdr:spPr>
        <a:xfrm>
          <a:off x="9375776" y="8223250"/>
          <a:ext cx="3378936" cy="3057525"/>
        </a:xfrm>
        <a:prstGeom prst="rect">
          <a:avLst/>
        </a:prstGeom>
      </xdr:spPr>
    </xdr:pic>
    <xdr:clientData/>
  </xdr:twoCellAnchor>
  <xdr:twoCellAnchor editAs="oneCell">
    <xdr:from>
      <xdr:col>5</xdr:col>
      <xdr:colOff>85725</xdr:colOff>
      <xdr:row>27</xdr:row>
      <xdr:rowOff>581025</xdr:rowOff>
    </xdr:from>
    <xdr:to>
      <xdr:col>5</xdr:col>
      <xdr:colOff>3400113</xdr:colOff>
      <xdr:row>27</xdr:row>
      <xdr:rowOff>3586162</xdr:rowOff>
    </xdr:to>
    <xdr:pic>
      <xdr:nvPicPr>
        <xdr:cNvPr id="14" name="図 13">
          <a:extLst>
            <a:ext uri="{FF2B5EF4-FFF2-40B4-BE49-F238E27FC236}">
              <a16:creationId xmlns:a16="http://schemas.microsoft.com/office/drawing/2014/main" id="{796229A4-D39B-4AEC-B9D8-074047413AE1}"/>
            </a:ext>
          </a:extLst>
        </xdr:cNvPr>
        <xdr:cNvPicPr>
          <a:picLocks noChangeAspect="1"/>
        </xdr:cNvPicPr>
      </xdr:nvPicPr>
      <xdr:blipFill>
        <a:blip xmlns:r="http://schemas.openxmlformats.org/officeDocument/2006/relationships" r:embed="rId8"/>
        <a:stretch>
          <a:fillRect/>
        </a:stretch>
      </xdr:blipFill>
      <xdr:spPr>
        <a:xfrm>
          <a:off x="9375775" y="12118975"/>
          <a:ext cx="3314388" cy="2981325"/>
        </a:xfrm>
        <a:prstGeom prst="rect">
          <a:avLst/>
        </a:prstGeom>
      </xdr:spPr>
    </xdr:pic>
    <xdr:clientData/>
  </xdr:twoCellAnchor>
  <xdr:twoCellAnchor editAs="oneCell">
    <xdr:from>
      <xdr:col>5</xdr:col>
      <xdr:colOff>28576</xdr:colOff>
      <xdr:row>23</xdr:row>
      <xdr:rowOff>266700</xdr:rowOff>
    </xdr:from>
    <xdr:to>
      <xdr:col>5</xdr:col>
      <xdr:colOff>3648076</xdr:colOff>
      <xdr:row>23</xdr:row>
      <xdr:rowOff>628489</xdr:rowOff>
    </xdr:to>
    <xdr:pic>
      <xdr:nvPicPr>
        <xdr:cNvPr id="15" name="図 14">
          <a:extLst>
            <a:ext uri="{FF2B5EF4-FFF2-40B4-BE49-F238E27FC236}">
              <a16:creationId xmlns:a16="http://schemas.microsoft.com/office/drawing/2014/main" id="{BA91E38C-E89C-49E8-89C7-66CCF477738C}"/>
            </a:ext>
          </a:extLst>
        </xdr:cNvPr>
        <xdr:cNvPicPr>
          <a:picLocks noChangeAspect="1"/>
        </xdr:cNvPicPr>
      </xdr:nvPicPr>
      <xdr:blipFill>
        <a:blip xmlns:r="http://schemas.openxmlformats.org/officeDocument/2006/relationships" r:embed="rId9"/>
        <a:stretch>
          <a:fillRect/>
        </a:stretch>
      </xdr:blipFill>
      <xdr:spPr>
        <a:xfrm>
          <a:off x="9318626" y="6534150"/>
          <a:ext cx="3619500" cy="358614"/>
        </a:xfrm>
        <a:prstGeom prst="rect">
          <a:avLst/>
        </a:prstGeom>
      </xdr:spPr>
    </xdr:pic>
    <xdr:clientData/>
  </xdr:twoCellAnchor>
  <xdr:oneCellAnchor>
    <xdr:from>
      <xdr:col>5</xdr:col>
      <xdr:colOff>138906</xdr:colOff>
      <xdr:row>35</xdr:row>
      <xdr:rowOff>1182686</xdr:rowOff>
    </xdr:from>
    <xdr:ext cx="4131469" cy="1114893"/>
    <xdr:pic>
      <xdr:nvPicPr>
        <xdr:cNvPr id="16" name="図 15">
          <a:extLst>
            <a:ext uri="{FF2B5EF4-FFF2-40B4-BE49-F238E27FC236}">
              <a16:creationId xmlns:a16="http://schemas.microsoft.com/office/drawing/2014/main" id="{22A682D6-E183-484A-A9F4-4DD0D56170A6}"/>
            </a:ext>
          </a:extLst>
        </xdr:cNvPr>
        <xdr:cNvPicPr>
          <a:picLocks noChangeAspect="1"/>
        </xdr:cNvPicPr>
      </xdr:nvPicPr>
      <xdr:blipFill>
        <a:blip xmlns:r="http://schemas.openxmlformats.org/officeDocument/2006/relationships" r:embed="rId5"/>
        <a:stretch>
          <a:fillRect/>
        </a:stretch>
      </xdr:blipFill>
      <xdr:spPr>
        <a:xfrm>
          <a:off x="9433719" y="39052499"/>
          <a:ext cx="4131469" cy="1114893"/>
        </a:xfrm>
        <a:prstGeom prst="rect">
          <a:avLst/>
        </a:prstGeom>
      </xdr:spPr>
    </xdr:pic>
    <xdr:clientData/>
  </xdr:oneCellAnchor>
  <xdr:oneCellAnchor>
    <xdr:from>
      <xdr:col>5</xdr:col>
      <xdr:colOff>133350</xdr:colOff>
      <xdr:row>36</xdr:row>
      <xdr:rowOff>333375</xdr:rowOff>
    </xdr:from>
    <xdr:ext cx="4000500" cy="2644069"/>
    <xdr:pic>
      <xdr:nvPicPr>
        <xdr:cNvPr id="17" name="図 16">
          <a:extLst>
            <a:ext uri="{FF2B5EF4-FFF2-40B4-BE49-F238E27FC236}">
              <a16:creationId xmlns:a16="http://schemas.microsoft.com/office/drawing/2014/main" id="{CA306572-3F16-4FFE-B861-19CAF19CA323}"/>
            </a:ext>
          </a:extLst>
        </xdr:cNvPr>
        <xdr:cNvPicPr>
          <a:picLocks noChangeAspect="1"/>
        </xdr:cNvPicPr>
      </xdr:nvPicPr>
      <xdr:blipFill>
        <a:blip xmlns:r="http://schemas.openxmlformats.org/officeDocument/2006/relationships" r:embed="rId6"/>
        <a:stretch>
          <a:fillRect/>
        </a:stretch>
      </xdr:blipFill>
      <xdr:spPr>
        <a:xfrm>
          <a:off x="9428163" y="23090188"/>
          <a:ext cx="4000500" cy="2644069"/>
        </a:xfrm>
        <a:prstGeom prst="rect">
          <a:avLst/>
        </a:prstGeom>
      </xdr:spPr>
    </xdr:pic>
    <xdr:clientData/>
  </xdr:oneCellAnchor>
  <xdr:oneCellAnchor>
    <xdr:from>
      <xdr:col>5</xdr:col>
      <xdr:colOff>85726</xdr:colOff>
      <xdr:row>39</xdr:row>
      <xdr:rowOff>533400</xdr:rowOff>
    </xdr:from>
    <xdr:ext cx="3378936" cy="3311525"/>
    <xdr:pic>
      <xdr:nvPicPr>
        <xdr:cNvPr id="18" name="図 17">
          <a:extLst>
            <a:ext uri="{FF2B5EF4-FFF2-40B4-BE49-F238E27FC236}">
              <a16:creationId xmlns:a16="http://schemas.microsoft.com/office/drawing/2014/main" id="{9C4F65AA-B808-40DC-A929-9CB372B40E29}"/>
            </a:ext>
          </a:extLst>
        </xdr:cNvPr>
        <xdr:cNvPicPr>
          <a:picLocks noChangeAspect="1"/>
        </xdr:cNvPicPr>
      </xdr:nvPicPr>
      <xdr:blipFill>
        <a:blip xmlns:r="http://schemas.openxmlformats.org/officeDocument/2006/relationships" r:embed="rId7"/>
        <a:stretch>
          <a:fillRect/>
        </a:stretch>
      </xdr:blipFill>
      <xdr:spPr>
        <a:xfrm>
          <a:off x="9380539" y="27878088"/>
          <a:ext cx="3378936" cy="3311525"/>
        </a:xfrm>
        <a:prstGeom prst="rect">
          <a:avLst/>
        </a:prstGeom>
      </xdr:spPr>
    </xdr:pic>
    <xdr:clientData/>
  </xdr:oneCellAnchor>
  <xdr:oneCellAnchor>
    <xdr:from>
      <xdr:col>5</xdr:col>
      <xdr:colOff>85725</xdr:colOff>
      <xdr:row>40</xdr:row>
      <xdr:rowOff>581025</xdr:rowOff>
    </xdr:from>
    <xdr:ext cx="3314388" cy="3005137"/>
    <xdr:pic>
      <xdr:nvPicPr>
        <xdr:cNvPr id="19" name="図 18">
          <a:extLst>
            <a:ext uri="{FF2B5EF4-FFF2-40B4-BE49-F238E27FC236}">
              <a16:creationId xmlns:a16="http://schemas.microsoft.com/office/drawing/2014/main" id="{85DB1CA1-335D-4B20-8277-75DDEAD0B72B}"/>
            </a:ext>
          </a:extLst>
        </xdr:cNvPr>
        <xdr:cNvPicPr>
          <a:picLocks noChangeAspect="1"/>
        </xdr:cNvPicPr>
      </xdr:nvPicPr>
      <xdr:blipFill>
        <a:blip xmlns:r="http://schemas.openxmlformats.org/officeDocument/2006/relationships" r:embed="rId8"/>
        <a:stretch>
          <a:fillRect/>
        </a:stretch>
      </xdr:blipFill>
      <xdr:spPr>
        <a:xfrm>
          <a:off x="9380538" y="31846838"/>
          <a:ext cx="3314388" cy="3005137"/>
        </a:xfrm>
        <a:prstGeom prst="rect">
          <a:avLst/>
        </a:prstGeom>
      </xdr:spPr>
    </xdr:pic>
    <xdr:clientData/>
  </xdr:oneCellAnchor>
  <xdr:oneCellAnchor>
    <xdr:from>
      <xdr:col>5</xdr:col>
      <xdr:colOff>28576</xdr:colOff>
      <xdr:row>38</xdr:row>
      <xdr:rowOff>266700</xdr:rowOff>
    </xdr:from>
    <xdr:ext cx="3619500" cy="361789"/>
    <xdr:pic>
      <xdr:nvPicPr>
        <xdr:cNvPr id="20" name="図 19">
          <a:extLst>
            <a:ext uri="{FF2B5EF4-FFF2-40B4-BE49-F238E27FC236}">
              <a16:creationId xmlns:a16="http://schemas.microsoft.com/office/drawing/2014/main" id="{1CEEFBCB-BDE3-47CE-AB20-966EB7CA72BF}"/>
            </a:ext>
          </a:extLst>
        </xdr:cNvPr>
        <xdr:cNvPicPr>
          <a:picLocks noChangeAspect="1"/>
        </xdr:cNvPicPr>
      </xdr:nvPicPr>
      <xdr:blipFill>
        <a:blip xmlns:r="http://schemas.openxmlformats.org/officeDocument/2006/relationships" r:embed="rId9"/>
        <a:stretch>
          <a:fillRect/>
        </a:stretch>
      </xdr:blipFill>
      <xdr:spPr>
        <a:xfrm>
          <a:off x="9323389" y="26396950"/>
          <a:ext cx="3619500" cy="361789"/>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nagao/Documents/DCS-Viewer/&#30707;&#20117;&#12373;&#12435;&#36899;&#25658;/sample/XAFS_excel_invic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sl$\Ubuntu-22.04\Users\nagao\Documents\DCS-Viewer\&#30707;&#20117;&#12373;&#12435;&#36899;&#25658;\sample\XAFS_excel_invic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Users/nagao/Documents/M-DaC(&#20027;&#35201;&#12497;&#12521;&#12513;&#12540;&#12479;&#31649;&#29702;)/DPF&#12513;&#12479;&#26908;&#35342;200106.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wsl$\Ubuntu-22.04\Users\nagao\Documents\M-DaC(&#20027;&#35201;&#12497;&#12521;&#12513;&#12540;&#12479;&#31649;&#29702;)\DPF&#12513;&#12479;&#26908;&#35342;200106.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nagao/Downloads/DCS&#30331;&#37682;&#29992;&#12486;&#12531;&#12503;&#12524;&#12540;&#12488;_mi20200809-20210406&#20462;&#27491;-MDR&#36861;&#21152;&#29256;%20(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nimsgojp-my.sharepoint.com/personal/nagao_hiroko_nims_go_jp/Documents/Microsoft%20Teams%20&#12481;&#12515;&#12483;&#12488;%20&#12501;&#12449;&#12452;&#12523;/DCS&#30331;&#37682;&#29992;&#12486;&#12531;&#12503;&#12524;&#12540;&#12488;_mi20200809-20210406&#20462;&#27491;-MDR&#36861;&#21152;&#29256;%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s>
    <sheetDataSet>
      <sheetData sheetId="0"/>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ndatory_item"/>
      <sheetName val="必須メタ案-ユースケース（計算）"/>
      <sheetName val="必須メタ案-ユースケース（ナノプラ）"/>
      <sheetName val="必須メタ案-WG検討"/>
      <sheetName val="InPutMode"/>
      <sheetName val="物質材料（試料）メタ"/>
      <sheetName val="試料記述詳細版"/>
      <sheetName val="試料記述超簡易版"/>
      <sheetName val="特性メタ"/>
      <sheetName val="計測メタ"/>
      <sheetName val="合成・プロセスメタ"/>
      <sheetName val="計算メタ"/>
      <sheetName val="original"/>
      <sheetName val="original (mod)"/>
      <sheetName val="original (mod) (2)Eng"/>
      <sheetName val="original (mod) (2)Jpn"/>
      <sheetName val="data origin"/>
      <sheetName val="Material types"/>
      <sheetName val="Structural features"/>
      <sheetName val="Properties addressed"/>
      <sheetName val="Computational methods"/>
      <sheetName val="Characterization methods"/>
      <sheetName val="Synthesis and processing"/>
      <sheetName val="Characterization&amp;Process"/>
    </sheetNames>
    <sheetDataSet>
      <sheetData sheetId="0"/>
      <sheetData sheetId="1">
        <row r="54">
          <cell r="C54" t="str">
            <v>personal</v>
          </cell>
        </row>
        <row r="55">
          <cell r="C55" t="str">
            <v>private_group</v>
          </cell>
        </row>
        <row r="56">
          <cell r="C56" t="str">
            <v>NIMS</v>
          </cell>
        </row>
        <row r="57">
          <cell r="C57" t="str">
            <v>public</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B2" t="str">
            <v>experiments</v>
          </cell>
        </row>
        <row r="3">
          <cell r="B3" t="str">
            <v>informatics and data science</v>
          </cell>
        </row>
        <row r="4">
          <cell r="B4" t="str">
            <v>simulations</v>
          </cell>
        </row>
        <row r="5">
          <cell r="B5" t="str">
            <v>theory</v>
          </cell>
        </row>
        <row r="6">
          <cell r="B6" t="str">
            <v>other</v>
          </cell>
        </row>
      </sheetData>
      <sheetData sheetId="18"/>
      <sheetData sheetId="19"/>
      <sheetData sheetId="20">
        <row r="1">
          <cell r="I1" t="str">
            <v>chemical</v>
          </cell>
          <cell r="J1" t="str">
            <v>colligative</v>
          </cell>
          <cell r="K1" t="str">
            <v>corrosion</v>
          </cell>
          <cell r="L1" t="str">
            <v>crystallographic</v>
          </cell>
          <cell r="M1" t="str">
            <v>durability</v>
          </cell>
          <cell r="N1" t="str">
            <v>electrical</v>
          </cell>
          <cell r="O1" t="str">
            <v>kinetic</v>
          </cell>
          <cell r="P1" t="str">
            <v>magnetic</v>
          </cell>
          <cell r="Q1" t="str">
            <v>mechanical</v>
          </cell>
          <cell r="R1" t="str">
            <v>optical</v>
          </cell>
          <cell r="S1" t="str">
            <v>rheological</v>
          </cell>
          <cell r="T1" t="str">
            <v>structural</v>
          </cell>
          <cell r="U1" t="str">
            <v>thermodynamic</v>
          </cell>
          <cell r="V1" t="str">
            <v>toxicity</v>
          </cell>
          <cell r="W1" t="str">
            <v>transport</v>
          </cell>
          <cell r="X1" t="str">
            <v>other</v>
          </cell>
        </row>
        <row r="28">
          <cell r="I28" t="str">
            <v>化学的</v>
          </cell>
          <cell r="J28" t="str">
            <v>束一性</v>
          </cell>
          <cell r="K28" t="str">
            <v>腐食</v>
          </cell>
          <cell r="L28" t="str">
            <v>結晶学的</v>
          </cell>
          <cell r="M28" t="str">
            <v>耐久性</v>
          </cell>
          <cell r="N28" t="str">
            <v>電気特性</v>
          </cell>
          <cell r="O28" t="str">
            <v>動的</v>
          </cell>
          <cell r="P28" t="str">
            <v>磁性</v>
          </cell>
          <cell r="Q28" t="str">
            <v>機械的性質</v>
          </cell>
          <cell r="R28" t="str">
            <v>工学的性質</v>
          </cell>
          <cell r="S28" t="str">
            <v>レオロジー(流動学)的性質</v>
          </cell>
          <cell r="T28" t="str">
            <v>構造的性質</v>
          </cell>
          <cell r="U28" t="str">
            <v>熱力学的性質</v>
          </cell>
          <cell r="V28" t="str">
            <v>毒性(toxicity)</v>
          </cell>
          <cell r="W28" t="str">
            <v>輸送</v>
          </cell>
          <cell r="X28" t="str">
            <v>その他</v>
          </cell>
        </row>
      </sheetData>
      <sheetData sheetId="21">
        <row r="3">
          <cell r="B3" t="str">
            <v>boundary tracking or level set</v>
          </cell>
          <cell r="E3" t="str">
            <v>境界トラッキングまたはレベルセット</v>
          </cell>
        </row>
        <row r="4">
          <cell r="B4" t="str">
            <v>CALPHAD</v>
          </cell>
          <cell r="E4" t="str">
            <v>カルパッド</v>
          </cell>
        </row>
        <row r="5">
          <cell r="B5" t="str">
            <v>cellular automata</v>
          </cell>
          <cell r="E5" t="str">
            <v>セルオートマトン</v>
          </cell>
        </row>
        <row r="6">
          <cell r="B6" t="str">
            <v>cluster expansion</v>
          </cell>
          <cell r="E6" t="str">
            <v>クラスタ拡張</v>
          </cell>
        </row>
        <row r="7">
          <cell r="B7" t="str">
            <v>crystal plasticity</v>
          </cell>
          <cell r="E7" t="str">
            <v>結晶の可塑性</v>
          </cell>
        </row>
        <row r="8">
          <cell r="B8" t="str">
            <v>density functional theory or electronic structure</v>
          </cell>
          <cell r="E8" t="str">
            <v>密度汎関数理論または電子構造</v>
          </cell>
        </row>
        <row r="9">
          <cell r="B9" t="str">
            <v>dislocation dynamics</v>
          </cell>
          <cell r="E9" t="str">
            <v>転位ダイナミクス</v>
          </cell>
        </row>
        <row r="10">
          <cell r="B10" t="str">
            <v>finite element analysis</v>
          </cell>
          <cell r="E10" t="str">
            <v>有限要素解析</v>
          </cell>
        </row>
        <row r="11">
          <cell r="B11" t="str">
            <v>machine learning</v>
          </cell>
          <cell r="E11" t="str">
            <v>機械学習</v>
          </cell>
        </row>
        <row r="12">
          <cell r="B12" t="str">
            <v>molecular dynamics</v>
          </cell>
          <cell r="E12" t="str">
            <v>分子動力学</v>
          </cell>
        </row>
        <row r="13">
          <cell r="B13" t="str">
            <v>Monte Carlo methods</v>
          </cell>
          <cell r="E13" t="str">
            <v>モンテカルロ法</v>
          </cell>
        </row>
        <row r="14">
          <cell r="B14" t="str">
            <v>multiscale simulations</v>
          </cell>
          <cell r="E14" t="str">
            <v>マルチスケールシミュレーション</v>
          </cell>
        </row>
        <row r="15">
          <cell r="B15" t="str">
            <v>phase-field calculations</v>
          </cell>
          <cell r="E15" t="str">
            <v>位相場計算</v>
          </cell>
        </row>
        <row r="16">
          <cell r="B16" t="str">
            <v>reverse Monte Carlo</v>
          </cell>
          <cell r="E16" t="str">
            <v>リバースモンテカルロ</v>
          </cell>
        </row>
        <row r="17">
          <cell r="B17" t="str">
            <v>self-consistent field theory</v>
          </cell>
          <cell r="E17" t="str">
            <v>自己一貫性場理論</v>
          </cell>
        </row>
        <row r="18">
          <cell r="B18" t="str">
            <v>simulated experiment</v>
          </cell>
          <cell r="E18" t="str">
            <v>シミュレート実験</v>
          </cell>
        </row>
        <row r="19">
          <cell r="B19" t="str">
            <v>scattering theory</v>
          </cell>
          <cell r="E19" t="str">
            <v>散乱理論</v>
          </cell>
        </row>
        <row r="20">
          <cell r="B20" t="str">
            <v>statistical mechanics</v>
          </cell>
          <cell r="E20" t="str">
            <v>統計力学</v>
          </cell>
        </row>
      </sheetData>
      <sheetData sheetId="22"/>
      <sheetData sheetId="23">
        <row r="1">
          <cell r="I1" t="str">
            <v>AnnealingHomogenization</v>
          </cell>
          <cell r="J1" t="str">
            <v>casting</v>
          </cell>
          <cell r="K1" t="str">
            <v>DepositionCoating</v>
          </cell>
          <cell r="L1" t="str">
            <v>forming</v>
          </cell>
          <cell r="M1" t="str">
            <v>fractionation</v>
          </cell>
          <cell r="N1" t="str">
            <v>MechanicalSurface</v>
          </cell>
          <cell r="O1" t="str">
            <v>PowderProcessing</v>
          </cell>
          <cell r="P1" t="str">
            <v>quenching</v>
          </cell>
          <cell r="Q1" t="str">
            <v>reactive</v>
          </cell>
          <cell r="R1" t="str">
            <v>self_assembly</v>
          </cell>
          <cell r="S1" t="str">
            <v>solidification</v>
          </cell>
          <cell r="T1" t="str">
            <v>other</v>
          </cell>
        </row>
        <row r="22">
          <cell r="I22" t="str">
            <v>アニーリング_均一化処理</v>
          </cell>
          <cell r="J22" t="str">
            <v>鋳造</v>
          </cell>
          <cell r="K22" t="str">
            <v>蒸着_成膜</v>
          </cell>
          <cell r="L22" t="str">
            <v>成形</v>
          </cell>
          <cell r="M22" t="str">
            <v>分別_fractionation</v>
          </cell>
          <cell r="N22" t="str">
            <v>機械的_表面</v>
          </cell>
          <cell r="O22" t="str">
            <v>粉末処理</v>
          </cell>
          <cell r="P22" t="str">
            <v>焼入れ_quenching</v>
          </cell>
          <cell r="Q22" t="str">
            <v>反応</v>
          </cell>
          <cell r="R22" t="str">
            <v>自己組織化</v>
          </cell>
          <cell r="S22" t="str">
            <v>固化_solidification</v>
          </cell>
          <cell r="T22" t="str">
            <v>その他</v>
          </cell>
        </row>
        <row r="112">
          <cell r="F112" t="str">
            <v>N_A</v>
          </cell>
          <cell r="G112" t="str">
            <v>N_A</v>
          </cell>
        </row>
        <row r="113">
          <cell r="F113" t="str">
            <v>in air</v>
          </cell>
          <cell r="G113" t="str">
            <v>空気中</v>
          </cell>
        </row>
        <row r="114">
          <cell r="F114" t="str">
            <v>in liquid</v>
          </cell>
          <cell r="G114" t="str">
            <v>液体中</v>
          </cell>
        </row>
        <row r="115">
          <cell r="F115" t="str">
            <v>in vacuum</v>
          </cell>
          <cell r="G115" t="str">
            <v>真空中</v>
          </cell>
        </row>
        <row r="116">
          <cell r="F116" t="str">
            <v>in inactive gas</v>
          </cell>
          <cell r="G116" t="str">
            <v>不活性ガス中</v>
          </cell>
        </row>
        <row r="117">
          <cell r="F117" t="str">
            <v>in high pressure</v>
          </cell>
          <cell r="G117" t="str">
            <v>高圧下</v>
          </cell>
        </row>
        <row r="118">
          <cell r="F118" t="str">
            <v>in magnetic field</v>
          </cell>
          <cell r="G118" t="str">
            <v>磁場中</v>
          </cell>
        </row>
        <row r="119">
          <cell r="F119" t="str">
            <v>at low temperature</v>
          </cell>
          <cell r="G119" t="str">
            <v>低温</v>
          </cell>
        </row>
        <row r="120">
          <cell r="F120" t="str">
            <v>other (free description)</v>
          </cell>
          <cell r="G120" t="str">
            <v>その他（自由記述）</v>
          </cell>
        </row>
      </sheetData>
      <sheetData sheetId="24">
        <row r="27">
          <cell r="B27" t="str">
            <v>charge_distribution</v>
          </cell>
          <cell r="C27" t="str">
            <v>chromatography</v>
          </cell>
          <cell r="D27" t="str">
            <v>dilatometry</v>
          </cell>
          <cell r="E27" t="str">
            <v>electrochemical</v>
          </cell>
          <cell r="F27" t="str">
            <v>mechanical</v>
          </cell>
          <cell r="G27" t="str">
            <v>microscopy</v>
          </cell>
          <cell r="H27" t="str">
            <v>optical</v>
          </cell>
          <cell r="I27" t="str">
            <v>osmometry</v>
          </cell>
          <cell r="J27" t="str">
            <v>profilometry</v>
          </cell>
          <cell r="K27" t="str">
            <v>scattering_and_diffraction</v>
          </cell>
          <cell r="L27" t="str">
            <v>spectrometry</v>
          </cell>
          <cell r="M27" t="str">
            <v>spectroscopy</v>
          </cell>
          <cell r="N27" t="str">
            <v>thermochemical</v>
          </cell>
          <cell r="O27" t="str">
            <v>tomography</v>
          </cell>
          <cell r="P27" t="str">
            <v>ultrasonic</v>
          </cell>
          <cell r="Q27" t="str">
            <v>viscometry</v>
          </cell>
          <cell r="S27" t="str">
            <v>AnnealingHomogenization</v>
          </cell>
          <cell r="T27" t="str">
            <v>casting</v>
          </cell>
          <cell r="U27" t="str">
            <v>DepositionCoating</v>
          </cell>
          <cell r="V27" t="str">
            <v>forming</v>
          </cell>
          <cell r="W27" t="str">
            <v>fractionation</v>
          </cell>
          <cell r="X27" t="str">
            <v>MechanicalSurface</v>
          </cell>
          <cell r="Y27" t="str">
            <v>PowderProcessing</v>
          </cell>
          <cell r="Z27" t="str">
            <v>quenching</v>
          </cell>
          <cell r="AA27" t="str">
            <v>reactive</v>
          </cell>
          <cell r="AB27" t="str">
            <v>self_assembly</v>
          </cell>
          <cell r="AC27" t="str">
            <v>solidification</v>
          </cell>
          <cell r="AD27" t="str">
            <v>other</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mandatory_item"/>
      <sheetName val="必須メタ案-ユースケース（計算）"/>
      <sheetName val="必須メタ案-ユースケース（ナノプラ）"/>
      <sheetName val="必須メタ案-WG検討"/>
      <sheetName val="InPutMode"/>
      <sheetName val="物質材料（試料）メタ"/>
      <sheetName val="試料記述詳細版"/>
      <sheetName val="試料記述超簡易版"/>
      <sheetName val="特性メタ"/>
      <sheetName val="計測メタ"/>
      <sheetName val="合成・プロセスメタ"/>
      <sheetName val="計算メタ"/>
      <sheetName val="original"/>
      <sheetName val="original (mod)"/>
      <sheetName val="original (mod) (2)Eng"/>
      <sheetName val="original (mod) (2)Jpn"/>
      <sheetName val="data origin"/>
      <sheetName val="Material types"/>
      <sheetName val="Structural features"/>
      <sheetName val="Properties addressed"/>
      <sheetName val="Computational methods"/>
      <sheetName val="Characterization methods"/>
      <sheetName val="Synthesis and processing"/>
      <sheetName val="Characterization&amp;Process"/>
    </sheetNames>
    <sheetDataSet>
      <sheetData sheetId="0"/>
      <sheetData sheetId="1">
        <row r="54">
          <cell r="C54" t="str">
            <v>personal</v>
          </cell>
        </row>
        <row r="55">
          <cell r="C55" t="str">
            <v>private_group</v>
          </cell>
        </row>
        <row r="56">
          <cell r="C56" t="str">
            <v>NIMS</v>
          </cell>
        </row>
        <row r="57">
          <cell r="C57" t="str">
            <v>public</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B2" t="str">
            <v>experiments</v>
          </cell>
        </row>
        <row r="3">
          <cell r="B3" t="str">
            <v>informatics and data science</v>
          </cell>
        </row>
        <row r="4">
          <cell r="B4" t="str">
            <v>simulations</v>
          </cell>
        </row>
        <row r="5">
          <cell r="B5" t="str">
            <v>theory</v>
          </cell>
        </row>
        <row r="6">
          <cell r="B6" t="str">
            <v>other</v>
          </cell>
        </row>
      </sheetData>
      <sheetData sheetId="18"/>
      <sheetData sheetId="19"/>
      <sheetData sheetId="20">
        <row r="1">
          <cell r="I1" t="str">
            <v>chemical</v>
          </cell>
          <cell r="J1" t="str">
            <v>colligative</v>
          </cell>
          <cell r="K1" t="str">
            <v>corrosion</v>
          </cell>
          <cell r="L1" t="str">
            <v>crystallographic</v>
          </cell>
          <cell r="M1" t="str">
            <v>durability</v>
          </cell>
          <cell r="N1" t="str">
            <v>electrical</v>
          </cell>
          <cell r="O1" t="str">
            <v>kinetic</v>
          </cell>
          <cell r="P1" t="str">
            <v>magnetic</v>
          </cell>
          <cell r="Q1" t="str">
            <v>mechanical</v>
          </cell>
          <cell r="R1" t="str">
            <v>optical</v>
          </cell>
          <cell r="S1" t="str">
            <v>rheological</v>
          </cell>
          <cell r="T1" t="str">
            <v>structural</v>
          </cell>
          <cell r="U1" t="str">
            <v>thermodynamic</v>
          </cell>
          <cell r="V1" t="str">
            <v>toxicity</v>
          </cell>
          <cell r="W1" t="str">
            <v>transport</v>
          </cell>
          <cell r="X1" t="str">
            <v>other</v>
          </cell>
        </row>
        <row r="28">
          <cell r="I28" t="str">
            <v>化学的</v>
          </cell>
          <cell r="J28" t="str">
            <v>束一性</v>
          </cell>
          <cell r="K28" t="str">
            <v>腐食</v>
          </cell>
          <cell r="L28" t="str">
            <v>結晶学的</v>
          </cell>
          <cell r="M28" t="str">
            <v>耐久性</v>
          </cell>
          <cell r="N28" t="str">
            <v>電気特性</v>
          </cell>
          <cell r="O28" t="str">
            <v>動的</v>
          </cell>
          <cell r="P28" t="str">
            <v>磁性</v>
          </cell>
          <cell r="Q28" t="str">
            <v>機械的性質</v>
          </cell>
          <cell r="R28" t="str">
            <v>工学的性質</v>
          </cell>
          <cell r="S28" t="str">
            <v>レオロジー(流動学)的性質</v>
          </cell>
          <cell r="T28" t="str">
            <v>構造的性質</v>
          </cell>
          <cell r="U28" t="str">
            <v>熱力学的性質</v>
          </cell>
          <cell r="V28" t="str">
            <v>毒性(toxicity)</v>
          </cell>
          <cell r="W28" t="str">
            <v>輸送</v>
          </cell>
          <cell r="X28" t="str">
            <v>その他</v>
          </cell>
        </row>
      </sheetData>
      <sheetData sheetId="21">
        <row r="3">
          <cell r="B3" t="str">
            <v>boundary tracking or level set</v>
          </cell>
          <cell r="E3" t="str">
            <v>境界トラッキングまたはレベルセット</v>
          </cell>
        </row>
        <row r="4">
          <cell r="B4" t="str">
            <v>CALPHAD</v>
          </cell>
          <cell r="E4" t="str">
            <v>カルパッド</v>
          </cell>
        </row>
        <row r="5">
          <cell r="B5" t="str">
            <v>cellular automata</v>
          </cell>
          <cell r="E5" t="str">
            <v>セルオートマトン</v>
          </cell>
        </row>
        <row r="6">
          <cell r="B6" t="str">
            <v>cluster expansion</v>
          </cell>
          <cell r="E6" t="str">
            <v>クラスタ拡張</v>
          </cell>
        </row>
        <row r="7">
          <cell r="B7" t="str">
            <v>crystal plasticity</v>
          </cell>
          <cell r="E7" t="str">
            <v>結晶の可塑性</v>
          </cell>
        </row>
        <row r="8">
          <cell r="B8" t="str">
            <v>density functional theory or electronic structure</v>
          </cell>
          <cell r="E8" t="str">
            <v>密度汎関数理論または電子構造</v>
          </cell>
        </row>
        <row r="9">
          <cell r="B9" t="str">
            <v>dislocation dynamics</v>
          </cell>
          <cell r="E9" t="str">
            <v>転位ダイナミクス</v>
          </cell>
        </row>
        <row r="10">
          <cell r="B10" t="str">
            <v>finite element analysis</v>
          </cell>
          <cell r="E10" t="str">
            <v>有限要素解析</v>
          </cell>
        </row>
        <row r="11">
          <cell r="B11" t="str">
            <v>machine learning</v>
          </cell>
          <cell r="E11" t="str">
            <v>機械学習</v>
          </cell>
        </row>
        <row r="12">
          <cell r="B12" t="str">
            <v>molecular dynamics</v>
          </cell>
          <cell r="E12" t="str">
            <v>分子動力学</v>
          </cell>
        </row>
        <row r="13">
          <cell r="B13" t="str">
            <v>Monte Carlo methods</v>
          </cell>
          <cell r="E13" t="str">
            <v>モンテカルロ法</v>
          </cell>
        </row>
        <row r="14">
          <cell r="B14" t="str">
            <v>multiscale simulations</v>
          </cell>
          <cell r="E14" t="str">
            <v>マルチスケールシミュレーション</v>
          </cell>
        </row>
        <row r="15">
          <cell r="B15" t="str">
            <v>phase-field calculations</v>
          </cell>
          <cell r="E15" t="str">
            <v>位相場計算</v>
          </cell>
        </row>
        <row r="16">
          <cell r="B16" t="str">
            <v>reverse Monte Carlo</v>
          </cell>
          <cell r="E16" t="str">
            <v>リバースモンテカルロ</v>
          </cell>
        </row>
        <row r="17">
          <cell r="B17" t="str">
            <v>self-consistent field theory</v>
          </cell>
          <cell r="E17" t="str">
            <v>自己一貫性場理論</v>
          </cell>
        </row>
        <row r="18">
          <cell r="B18" t="str">
            <v>simulated experiment</v>
          </cell>
          <cell r="E18" t="str">
            <v>シミュレート実験</v>
          </cell>
        </row>
        <row r="19">
          <cell r="B19" t="str">
            <v>scattering theory</v>
          </cell>
          <cell r="E19" t="str">
            <v>散乱理論</v>
          </cell>
        </row>
        <row r="20">
          <cell r="B20" t="str">
            <v>statistical mechanics</v>
          </cell>
          <cell r="E20" t="str">
            <v>統計力学</v>
          </cell>
        </row>
      </sheetData>
      <sheetData sheetId="22"/>
      <sheetData sheetId="23">
        <row r="1">
          <cell r="I1" t="str">
            <v>AnnealingHomogenization</v>
          </cell>
          <cell r="J1" t="str">
            <v>casting</v>
          </cell>
          <cell r="K1" t="str">
            <v>DepositionCoating</v>
          </cell>
          <cell r="L1" t="str">
            <v>forming</v>
          </cell>
          <cell r="M1" t="str">
            <v>fractionation</v>
          </cell>
          <cell r="N1" t="str">
            <v>MechanicalSurface</v>
          </cell>
          <cell r="O1" t="str">
            <v>PowderProcessing</v>
          </cell>
          <cell r="P1" t="str">
            <v>quenching</v>
          </cell>
          <cell r="Q1" t="str">
            <v>reactive</v>
          </cell>
          <cell r="R1" t="str">
            <v>self_assembly</v>
          </cell>
          <cell r="S1" t="str">
            <v>solidification</v>
          </cell>
          <cell r="T1" t="str">
            <v>other</v>
          </cell>
        </row>
        <row r="22">
          <cell r="I22" t="str">
            <v>アニーリング_均一化処理</v>
          </cell>
          <cell r="J22" t="str">
            <v>鋳造</v>
          </cell>
          <cell r="K22" t="str">
            <v>蒸着_成膜</v>
          </cell>
          <cell r="L22" t="str">
            <v>成形</v>
          </cell>
          <cell r="M22" t="str">
            <v>分別_fractionation</v>
          </cell>
          <cell r="N22" t="str">
            <v>機械的_表面</v>
          </cell>
          <cell r="O22" t="str">
            <v>粉末処理</v>
          </cell>
          <cell r="P22" t="str">
            <v>焼入れ_quenching</v>
          </cell>
          <cell r="Q22" t="str">
            <v>反応</v>
          </cell>
          <cell r="R22" t="str">
            <v>自己組織化</v>
          </cell>
          <cell r="S22" t="str">
            <v>固化_solidification</v>
          </cell>
          <cell r="T22" t="str">
            <v>その他</v>
          </cell>
        </row>
        <row r="112">
          <cell r="F112" t="str">
            <v>N_A</v>
          </cell>
          <cell r="G112" t="str">
            <v>N_A</v>
          </cell>
        </row>
        <row r="113">
          <cell r="F113" t="str">
            <v>in air</v>
          </cell>
          <cell r="G113" t="str">
            <v>空気中</v>
          </cell>
        </row>
        <row r="114">
          <cell r="F114" t="str">
            <v>in liquid</v>
          </cell>
          <cell r="G114" t="str">
            <v>液体中</v>
          </cell>
        </row>
        <row r="115">
          <cell r="F115" t="str">
            <v>in vacuum</v>
          </cell>
          <cell r="G115" t="str">
            <v>真空中</v>
          </cell>
        </row>
        <row r="116">
          <cell r="F116" t="str">
            <v>in inactive gas</v>
          </cell>
          <cell r="G116" t="str">
            <v>不活性ガス中</v>
          </cell>
        </row>
        <row r="117">
          <cell r="F117" t="str">
            <v>in high pressure</v>
          </cell>
          <cell r="G117" t="str">
            <v>高圧下</v>
          </cell>
        </row>
        <row r="118">
          <cell r="F118" t="str">
            <v>in magnetic field</v>
          </cell>
          <cell r="G118" t="str">
            <v>磁場中</v>
          </cell>
        </row>
        <row r="119">
          <cell r="F119" t="str">
            <v>at low temperature</v>
          </cell>
          <cell r="G119" t="str">
            <v>低温</v>
          </cell>
        </row>
        <row r="120">
          <cell r="F120" t="str">
            <v>other (free description)</v>
          </cell>
          <cell r="G120" t="str">
            <v>その他（自由記述）</v>
          </cell>
        </row>
      </sheetData>
      <sheetData sheetId="24">
        <row r="27">
          <cell r="B27" t="str">
            <v>charge_distribution</v>
          </cell>
          <cell r="C27" t="str">
            <v>chromatography</v>
          </cell>
          <cell r="D27" t="str">
            <v>dilatometry</v>
          </cell>
          <cell r="E27" t="str">
            <v>electrochemical</v>
          </cell>
          <cell r="F27" t="str">
            <v>mechanical</v>
          </cell>
          <cell r="G27" t="str">
            <v>microscopy</v>
          </cell>
          <cell r="H27" t="str">
            <v>optical</v>
          </cell>
          <cell r="I27" t="str">
            <v>osmometry</v>
          </cell>
          <cell r="J27" t="str">
            <v>profilometry</v>
          </cell>
          <cell r="K27" t="str">
            <v>scattering_and_diffraction</v>
          </cell>
          <cell r="L27" t="str">
            <v>spectrometry</v>
          </cell>
          <cell r="M27" t="str">
            <v>spectroscopy</v>
          </cell>
          <cell r="N27" t="str">
            <v>thermochemical</v>
          </cell>
          <cell r="O27" t="str">
            <v>tomography</v>
          </cell>
          <cell r="P27" t="str">
            <v>ultrasonic</v>
          </cell>
          <cell r="Q27" t="str">
            <v>viscometry</v>
          </cell>
          <cell r="S27" t="str">
            <v>AnnealingHomogenization</v>
          </cell>
          <cell r="T27" t="str">
            <v>casting</v>
          </cell>
          <cell r="U27" t="str">
            <v>DepositionCoating</v>
          </cell>
          <cell r="V27" t="str">
            <v>forming</v>
          </cell>
          <cell r="W27" t="str">
            <v>fractionation</v>
          </cell>
          <cell r="X27" t="str">
            <v>MechanicalSurface</v>
          </cell>
          <cell r="Y27" t="str">
            <v>PowderProcessing</v>
          </cell>
          <cell r="Z27" t="str">
            <v>quenching</v>
          </cell>
          <cell r="AA27" t="str">
            <v>reactive</v>
          </cell>
          <cell r="AB27" t="str">
            <v>self_assembly</v>
          </cell>
          <cell r="AC27" t="str">
            <v>solidification</v>
          </cell>
          <cell r="AD27" t="str">
            <v>other</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acterization methods"/>
      <sheetName val="Material types"/>
      <sheetName val="Structural features"/>
      <sheetName val="改版履歴"/>
      <sheetName val="データセット用テンプレート"/>
      <sheetName val="ユーザー情報用テンプレート"/>
      <sheetName val="装置情報用テンプレート"/>
      <sheetName val="インボイスリストテンプレート"/>
      <sheetName val="試料用テンプレート"/>
    </sheetNames>
    <sheetDataSet>
      <sheetData sheetId="0">
        <row r="24">
          <cell r="J24" t="str">
            <v>荷電分布</v>
          </cell>
          <cell r="K24" t="str">
            <v>クロマトグラフィー</v>
          </cell>
          <cell r="L24" t="str">
            <v>膨張計</v>
          </cell>
          <cell r="M24" t="str">
            <v>電気化学</v>
          </cell>
          <cell r="N24" t="str">
            <v>機械特性</v>
          </cell>
          <cell r="O24" t="str">
            <v>顕微法</v>
          </cell>
          <cell r="P24" t="str">
            <v>光学測定</v>
          </cell>
          <cell r="Q24" t="str">
            <v>浸透圧法(osmometry)</v>
          </cell>
          <cell r="R24" t="str">
            <v>プロフィロメトリー</v>
          </cell>
          <cell r="S24" t="str">
            <v>散乱_回折</v>
          </cell>
          <cell r="T24" t="str">
            <v>分光分析法</v>
          </cell>
          <cell r="U24" t="str">
            <v>分光法</v>
          </cell>
          <cell r="V24" t="str">
            <v>熱化学</v>
          </cell>
          <cell r="W24" t="str">
            <v>トモグラフィー</v>
          </cell>
          <cell r="X24" t="str">
            <v>超音波</v>
          </cell>
          <cell r="Y24" t="str">
            <v>粘度測定</v>
          </cell>
          <cell r="Z24" t="str">
            <v>その他</v>
          </cell>
        </row>
        <row r="118">
          <cell r="G118" t="str">
            <v>N_A</v>
          </cell>
        </row>
        <row r="119">
          <cell r="G119" t="str">
            <v>空気中</v>
          </cell>
        </row>
        <row r="120">
          <cell r="G120" t="str">
            <v>液体中</v>
          </cell>
        </row>
        <row r="121">
          <cell r="G121" t="str">
            <v>真空中</v>
          </cell>
        </row>
        <row r="122">
          <cell r="G122" t="str">
            <v>不活性ガス中</v>
          </cell>
        </row>
        <row r="123">
          <cell r="G123" t="str">
            <v>高圧下</v>
          </cell>
        </row>
        <row r="124">
          <cell r="G124" t="str">
            <v>磁場中</v>
          </cell>
        </row>
        <row r="125">
          <cell r="G125" t="str">
            <v>低温</v>
          </cell>
        </row>
        <row r="126">
          <cell r="G126" t="str">
            <v>その他（自由記述）</v>
          </cell>
        </row>
      </sheetData>
      <sheetData sheetId="1">
        <row r="17">
          <cell r="J17" t="str">
            <v>生物学的物質</v>
          </cell>
          <cell r="K17" t="str">
            <v>生体材料</v>
          </cell>
          <cell r="L17" t="str">
            <v>セラミックス</v>
          </cell>
          <cell r="M17" t="str">
            <v>金属・合金</v>
          </cell>
          <cell r="N17" t="str">
            <v>メタマテリアル</v>
          </cell>
          <cell r="O17" t="str">
            <v>分子流体</v>
          </cell>
          <cell r="P17" t="str">
            <v>有機化合物</v>
          </cell>
          <cell r="Q17" t="str">
            <v>有機金属</v>
          </cell>
          <cell r="R17" t="str">
            <v>ポリマー</v>
          </cell>
          <cell r="S17" t="str">
            <v>半導体</v>
          </cell>
          <cell r="T17" t="str">
            <v>その他</v>
          </cell>
        </row>
      </sheetData>
      <sheetData sheetId="2">
        <row r="25">
          <cell r="I25" t="str">
            <v>複合材料</v>
          </cell>
          <cell r="J25" t="str">
            <v>欠陥</v>
          </cell>
          <cell r="K25" t="str">
            <v>工学的構造</v>
          </cell>
          <cell r="L25" t="str">
            <v>界面</v>
          </cell>
          <cell r="M25" t="str">
            <v>微細構造_microstructure</v>
          </cell>
          <cell r="N25" t="str">
            <v>分子構造</v>
          </cell>
          <cell r="O25" t="str">
            <v>形態</v>
          </cell>
          <cell r="P25" t="str">
            <v>相</v>
          </cell>
          <cell r="Q25" t="str">
            <v>その他</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acterization methods"/>
      <sheetName val="Material types"/>
      <sheetName val="Structural features"/>
      <sheetName val="改版履歴"/>
      <sheetName val="データセット用テンプレート"/>
      <sheetName val="ユーザー情報用テンプレート"/>
      <sheetName val="装置情報用テンプレート"/>
      <sheetName val="インボイスリストテンプレート"/>
      <sheetName val="試料用テンプレート"/>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NAGAO Hiroko" id="{B7DAA40B-BCA7-41A8-B040-18157FA8396E}" userId="S::nagao.hiroko@nims.go.jp::c16b1a13-41de-4a2e-b867-1435f5d438aa" providerId="AD"/>
  <person displayName="MATSUDA Asahiko" id="{02959AA8-3E6A-624A-9B68-AF89E7C1CB3F}" userId="S::MATSUDA.Asahiko@nims.go.jp::eaa87ae4-428f-4518-a80a-f0040790c2d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6" dT="2023-10-19T01:27:35.56" personId="{02959AA8-3E6A-624A-9B68-AF89E7C1CB3F}" id="{8EC9289B-E89B-C54A-AF5E-A9CAB7783195}">
    <text>「スパイク除去/spike removal」などとするのが良いでしょう。（特異点除去という言葉は物理学上かなり特定の意味を持つ言葉で、今回の処理はそれに当たらないため）</text>
  </threadedComment>
  <threadedComment ref="F26" dT="2023-10-19T03:36:03.85" personId="{B7DAA40B-BCA7-41A8-B040-18157FA8396E}" id="{65CAA7EC-442D-4352-94C9-1F8A9F2706B9}" parentId="{8EC9289B-E89B-C54A-AF5E-A9CAB7783195}">
    <text>OKです。</text>
  </threadedComment>
  <threadedComment ref="F27" dT="2023-10-19T01:28:53.54" personId="{02959AA8-3E6A-624A-9B68-AF89E7C1CB3F}" id="{296B8175-6133-1340-B050-FB33F3C0CC15}">
    <text>「取得」というか、「特出し表示」？　取得でも良いですが、一応議論したく</text>
  </threadedComment>
</ThreadedComments>
</file>

<file path=xl/threadedComments/threadedComment2.xml><?xml version="1.0" encoding="utf-8"?>
<ThreadedComments xmlns="http://schemas.microsoft.com/office/spreadsheetml/2018/threadedcomments" xmlns:x="http://schemas.openxmlformats.org/spreadsheetml/2006/main">
  <threadedComment ref="L27" dT="2023-10-19T01:41:04.51" personId="{02959AA8-3E6A-624A-9B68-AF89E7C1CB3F}" id="{AD545E9C-6EAD-7444-868D-1DA9DDED3D54}">
    <text>数値型に固執させるなら、サンプル幅・サンプル長さ・サンプル厚さの3項目に分ける必要が出てきますか？</text>
  </threadedComment>
  <threadedComment ref="L27" dT="2023-10-19T02:08:23.12" personId="{B7DAA40B-BCA7-41A8-B040-18157FA8396E}" id="{FE90D754-AA9F-4974-9E7A-AC2203918558}" parentId="{AD545E9C-6EAD-7444-868D-1DA9DDED3D54}">
    <text>はい、そう思います。DX的にそうするのか、現場の実情に合わせてこのようにするのか、コメント欄（SAMPLE_COMMENT）に特別なルールを設けてSAMPLE_SIZEやSAMPLE_VOLUMEに計算してマッピングするか、などが考えられると思います。
送り状にこの3つの項目を持たせようと思っていますが、それとの関係も検討必要です。
DXにこだわりすぎて、実情に合わないことをやっても仕方ないと思いますので悩みます。</text>
  </threadedComment>
  <threadedComment ref="F36" dT="2023-10-19T01:32:06.24" personId="{02959AA8-3E6A-624A-9B68-AF89E7C1CB3F}" id="{14C21C5E-7A44-AA48-B84A-2B7A0F5A94D8}">
    <text>"coercivity" のようなちゃんとした英語名ではなく、記号を英語名扱いで格納するということでいいなら、これでOKです。この下のセルも同様</text>
  </threadedComment>
  <threadedComment ref="F36" dT="2023-10-19T02:10:15.67" personId="{B7DAA40B-BCA7-41A8-B040-18157FA8396E}" id="{3AE3BCEA-48EA-44B5-B0AE-BDD8A9AD1B7A}" parentId="{14C21C5E-7A44-AA48-B84A-2B7A0F5A94D8}">
    <text>確かにそうですね。基本的に略語は使用しない、という原則で考えていますが、磁性分野では常識な語彙なのでOKと考えるか、ということですね。</text>
  </threadedComment>
  <threadedComment ref="H37" dT="2023-10-19T01:30:32.19" personId="{02959AA8-3E6A-624A-9B68-AF89E7C1CB3F}" id="{C11FE378-AC52-5844-93E3-10FA1B4B2ECC}">
    <text>emuは標準単位系ではないので、高橋さん用途には良いとしても、汎用としては別の単位に換算すべきな気がする</text>
  </threadedComment>
  <threadedComment ref="F39" dT="2023-10-19T01:43:00.95" personId="{02959AA8-3E6A-624A-9B68-AF89E7C1CB3F}" id="{EFCB1198-F542-704F-9335-CDD4A0F5BC07}">
    <text>Br per volume か？</text>
  </threadedComment>
  <threadedComment ref="F39" dT="2023-10-19T02:13:06.03" personId="{B7DAA40B-BCA7-41A8-B040-18157FA8396E}" id="{422D20DE-4B61-4AAC-B1C7-01BDF1F5C690}" parentId="{EFCB1198-F542-704F-9335-CDD4A0F5BC07}">
    <text>10/3のメールで以下のコメントあり。
磯上さんは膜厚（高さ）も取得済みなので「磁束密度/体積」を特徴量として記録する。
単位は10^9*emu/cm^3　→　Gemu/cm^3 でしょうか?
はいおっしゃる通りです．
先日の磯上さんとの打ち合わせの中で、「磁束密度/体積」が出てきましたが、「残
留磁化(または飽和磁化)／体積」との関係がわからなくなってしまいました。
「磁束密度/体積」は「飽和磁化／体積」のことです．</text>
  </threadedComment>
  <threadedComment ref="F39" dT="2023-10-19T02:15:35.01" personId="{B7DAA40B-BCA7-41A8-B040-18157FA8396E}" id="{8B9CCB42-4FA1-464E-B104-861A13AA9B0C}" parentId="{EFCB1198-F542-704F-9335-CDD4A0F5BC07}">
    <text>10/3に
「Bs/体積」
と連絡あり。</text>
  </threadedComment>
  <threadedComment ref="F39" dT="2023-10-19T02:20:16.78" personId="{B7DAA40B-BCA7-41A8-B040-18157FA8396E}" id="{7968B7E6-2118-429C-AC77-7849838931AC}" parentId="{EFCB1198-F542-704F-9335-CDD4A0F5BC07}">
    <text>高橋さんのメタは
「残留磁化x膜厚(memu):3.92e-03」
となっており、残留磁化はBrを使用しています。整理必要かもしれません。</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A9BF0-6A59-4E51-B01C-7C6C93D7E843}">
  <dimension ref="A1:N50"/>
  <sheetViews>
    <sheetView zoomScale="125" zoomScaleNormal="70" workbookViewId="0">
      <selection activeCell="G30" sqref="G30"/>
    </sheetView>
  </sheetViews>
  <sheetFormatPr defaultColWidth="9" defaultRowHeight="18"/>
  <cols>
    <col min="1" max="2" width="19" style="3" customWidth="1"/>
    <col min="3" max="3" width="50.83203125" style="3" customWidth="1"/>
    <col min="4" max="5" width="9" style="5" customWidth="1"/>
    <col min="6" max="7" width="37.83203125" style="3" customWidth="1"/>
    <col min="8" max="10" width="14.08203125" style="3" customWidth="1"/>
    <col min="11" max="11" width="45.08203125" style="3" customWidth="1"/>
    <col min="12" max="14" width="9" style="3"/>
    <col min="15" max="15" width="3.08203125" style="3" customWidth="1"/>
    <col min="16" max="16384" width="9" style="3"/>
  </cols>
  <sheetData>
    <row r="1" spans="1:12">
      <c r="C1" s="4" t="s">
        <v>0</v>
      </c>
    </row>
    <row r="3" spans="1:12" ht="18.5" thickBot="1">
      <c r="C3" s="3" t="s">
        <v>1</v>
      </c>
      <c r="F3" s="3" t="s">
        <v>2</v>
      </c>
      <c r="G3" s="3" t="s">
        <v>3</v>
      </c>
      <c r="H3" s="6" t="s">
        <v>4</v>
      </c>
      <c r="I3" s="3" t="s">
        <v>5</v>
      </c>
      <c r="J3" s="3" t="s">
        <v>6</v>
      </c>
      <c r="K3" s="6" t="s">
        <v>7</v>
      </c>
    </row>
    <row r="4" spans="1:12" ht="90.5" thickBot="1">
      <c r="C4" s="7" t="s">
        <v>8</v>
      </c>
      <c r="D4" s="8" t="s">
        <v>9</v>
      </c>
      <c r="E4" s="8" t="s">
        <v>10</v>
      </c>
      <c r="F4" s="9" t="s">
        <v>11</v>
      </c>
      <c r="G4" s="9" t="s">
        <v>12</v>
      </c>
      <c r="H4" s="10" t="s">
        <v>13</v>
      </c>
      <c r="I4" s="11" t="s">
        <v>14</v>
      </c>
      <c r="J4" s="11" t="s">
        <v>15</v>
      </c>
      <c r="K4" s="12" t="s">
        <v>16</v>
      </c>
    </row>
    <row r="5" spans="1:12">
      <c r="A5" s="153" t="s">
        <v>17</v>
      </c>
      <c r="B5" s="154"/>
      <c r="C5" s="13" t="str">
        <f t="shared" ref="C5:C10" si="0">SUBSTITUTE(LOWER(TRIM(G5))," ","_")</f>
        <v>instrument</v>
      </c>
      <c r="D5" s="14" t="s">
        <v>18</v>
      </c>
      <c r="E5" s="14"/>
      <c r="F5" s="13" t="s">
        <v>19</v>
      </c>
      <c r="G5" s="13" t="s">
        <v>20</v>
      </c>
      <c r="H5" s="13" t="s">
        <v>21</v>
      </c>
      <c r="I5" s="15"/>
      <c r="J5" s="15"/>
      <c r="K5" s="16"/>
    </row>
    <row r="6" spans="1:12">
      <c r="A6" s="155"/>
      <c r="B6" s="156"/>
      <c r="C6" s="17" t="str">
        <f t="shared" si="0"/>
        <v/>
      </c>
      <c r="D6" s="18"/>
      <c r="E6" s="18"/>
      <c r="F6" s="17" t="s">
        <v>22</v>
      </c>
      <c r="G6" s="17" t="s">
        <v>23</v>
      </c>
      <c r="H6" s="17"/>
      <c r="I6" s="19"/>
      <c r="J6" s="19"/>
      <c r="K6" s="20" t="s">
        <v>24</v>
      </c>
    </row>
    <row r="7" spans="1:12">
      <c r="A7" s="155"/>
      <c r="B7" s="156"/>
      <c r="C7" s="21" t="str">
        <f t="shared" si="0"/>
        <v>data_owner_(affiliation)</v>
      </c>
      <c r="D7" s="22" t="s">
        <v>18</v>
      </c>
      <c r="E7" s="22"/>
      <c r="F7" s="21" t="s">
        <v>25</v>
      </c>
      <c r="G7" s="21" t="s">
        <v>26</v>
      </c>
      <c r="H7" s="21" t="s">
        <v>27</v>
      </c>
      <c r="I7" s="23"/>
      <c r="J7" s="23"/>
      <c r="K7" s="24" t="s">
        <v>28</v>
      </c>
    </row>
    <row r="8" spans="1:12">
      <c r="A8" s="155"/>
      <c r="B8" s="156"/>
      <c r="C8" s="21" t="str">
        <f t="shared" si="0"/>
        <v>data_name</v>
      </c>
      <c r="D8" s="22" t="s">
        <v>18</v>
      </c>
      <c r="E8" s="22"/>
      <c r="F8" s="21" t="s">
        <v>29</v>
      </c>
      <c r="G8" s="21" t="s">
        <v>30</v>
      </c>
      <c r="H8" s="21" t="s">
        <v>27</v>
      </c>
      <c r="I8" s="23"/>
      <c r="J8" s="23"/>
      <c r="K8" s="24"/>
      <c r="L8" s="3" t="s">
        <v>31</v>
      </c>
    </row>
    <row r="9" spans="1:12">
      <c r="A9" s="155"/>
      <c r="B9" s="156"/>
      <c r="C9" s="21" t="str">
        <f t="shared" si="0"/>
        <v>experiment_id</v>
      </c>
      <c r="D9" s="22"/>
      <c r="E9" s="22"/>
      <c r="F9" s="21" t="s">
        <v>32</v>
      </c>
      <c r="G9" s="21" t="s">
        <v>33</v>
      </c>
      <c r="H9" s="21" t="s">
        <v>21</v>
      </c>
      <c r="I9" s="23"/>
      <c r="J9" s="23"/>
      <c r="K9" s="24"/>
    </row>
    <row r="10" spans="1:12" ht="18.5" thickBot="1">
      <c r="A10" s="157"/>
      <c r="B10" s="158"/>
      <c r="C10" s="25" t="str">
        <f t="shared" si="0"/>
        <v>description</v>
      </c>
      <c r="D10" s="26"/>
      <c r="E10" s="26"/>
      <c r="F10" s="25" t="s">
        <v>34</v>
      </c>
      <c r="G10" s="25" t="s">
        <v>35</v>
      </c>
      <c r="H10" s="25" t="s">
        <v>21</v>
      </c>
      <c r="I10" s="27"/>
      <c r="J10" s="27"/>
      <c r="K10" s="28"/>
    </row>
    <row r="11" spans="1:12">
      <c r="A11" s="168" t="s">
        <v>36</v>
      </c>
      <c r="B11" s="165" t="s">
        <v>37</v>
      </c>
      <c r="C11" s="13" t="str">
        <f>SUBSTITUTE(LOWER(TRIM(G11))," ","_")</f>
        <v>sample_name_(local_id)</v>
      </c>
      <c r="D11" s="14" t="s">
        <v>38</v>
      </c>
      <c r="E11" s="14"/>
      <c r="F11" s="29" t="s">
        <v>39</v>
      </c>
      <c r="G11" s="13" t="s">
        <v>40</v>
      </c>
      <c r="H11" s="29" t="s">
        <v>27</v>
      </c>
      <c r="I11" s="15"/>
      <c r="J11" s="15"/>
      <c r="K11" s="30"/>
    </row>
    <row r="12" spans="1:12">
      <c r="A12" s="169"/>
      <c r="B12" s="166"/>
      <c r="C12" s="21" t="str">
        <f>SUBSTITUTE(LOWER(TRIM(G12))," ","_")</f>
        <v>chemical_formula_etc.</v>
      </c>
      <c r="D12" s="31"/>
      <c r="E12" s="31"/>
      <c r="F12" s="32" t="s">
        <v>41</v>
      </c>
      <c r="G12" s="23" t="s">
        <v>42</v>
      </c>
      <c r="H12" s="32" t="s">
        <v>27</v>
      </c>
      <c r="I12" s="23"/>
      <c r="J12" s="23"/>
      <c r="K12" s="33"/>
    </row>
    <row r="13" spans="1:12">
      <c r="A13" s="169"/>
      <c r="B13" s="166"/>
      <c r="C13" s="21" t="str">
        <f t="shared" ref="C13:C17" si="1">SUBSTITUTE(LOWER(TRIM(G13))," ","_")</f>
        <v>administrator_(affiliation)</v>
      </c>
      <c r="D13" s="31" t="s">
        <v>38</v>
      </c>
      <c r="E13" s="31"/>
      <c r="F13" s="23" t="s">
        <v>43</v>
      </c>
      <c r="G13" s="23" t="s">
        <v>44</v>
      </c>
      <c r="H13" s="32" t="s">
        <v>27</v>
      </c>
      <c r="I13" s="23"/>
      <c r="J13" s="23"/>
      <c r="K13" s="33"/>
    </row>
    <row r="14" spans="1:12">
      <c r="A14" s="169"/>
      <c r="B14" s="166"/>
      <c r="C14" s="21" t="str">
        <f t="shared" si="1"/>
        <v>reference_url</v>
      </c>
      <c r="D14" s="31"/>
      <c r="E14" s="31"/>
      <c r="F14" s="32" t="s">
        <v>45</v>
      </c>
      <c r="G14" s="23" t="s">
        <v>46</v>
      </c>
      <c r="H14" s="32" t="s">
        <v>27</v>
      </c>
      <c r="I14" s="23"/>
      <c r="J14" s="23"/>
      <c r="K14" s="33"/>
    </row>
    <row r="15" spans="1:12">
      <c r="A15" s="169"/>
      <c r="B15" s="166"/>
      <c r="C15" s="21" t="str">
        <f t="shared" si="1"/>
        <v>related_samples</v>
      </c>
      <c r="D15" s="31"/>
      <c r="E15" s="31"/>
      <c r="F15" s="32" t="s">
        <v>47</v>
      </c>
      <c r="G15" s="23" t="s">
        <v>48</v>
      </c>
      <c r="H15" s="32" t="s">
        <v>27</v>
      </c>
      <c r="I15" s="23"/>
      <c r="J15" s="23"/>
      <c r="K15" s="33"/>
    </row>
    <row r="16" spans="1:12">
      <c r="A16" s="169"/>
      <c r="B16" s="166"/>
      <c r="C16" s="21" t="str">
        <f t="shared" si="1"/>
        <v>tags</v>
      </c>
      <c r="D16" s="31"/>
      <c r="E16" s="31"/>
      <c r="F16" s="32" t="s">
        <v>49</v>
      </c>
      <c r="G16" s="23" t="s">
        <v>50</v>
      </c>
      <c r="H16" s="32" t="s">
        <v>27</v>
      </c>
      <c r="I16" s="23"/>
      <c r="J16" s="23"/>
      <c r="K16" s="33"/>
    </row>
    <row r="17" spans="1:11">
      <c r="A17" s="169"/>
      <c r="B17" s="166"/>
      <c r="C17" s="21" t="str">
        <f t="shared" si="1"/>
        <v>description</v>
      </c>
      <c r="D17" s="31"/>
      <c r="E17" s="31"/>
      <c r="F17" s="32" t="s">
        <v>51</v>
      </c>
      <c r="G17" s="23" t="s">
        <v>52</v>
      </c>
      <c r="H17" s="32" t="s">
        <v>27</v>
      </c>
      <c r="I17" s="23"/>
      <c r="J17" s="23"/>
      <c r="K17" s="33"/>
    </row>
    <row r="18" spans="1:11">
      <c r="A18" s="169"/>
      <c r="B18" s="166"/>
      <c r="C18" s="21" t="str">
        <f t="shared" ref="C18:C24" si="2">"sample.general."&amp;SUBSTITUTE(LOWER(TRIM(G18))," ","_")</f>
        <v>sample.general.general_name</v>
      </c>
      <c r="D18" s="31"/>
      <c r="E18" s="31"/>
      <c r="F18" s="32" t="s">
        <v>53</v>
      </c>
      <c r="G18" s="23" t="s">
        <v>54</v>
      </c>
      <c r="H18" s="32" t="s">
        <v>27</v>
      </c>
      <c r="I18" s="23"/>
      <c r="J18" s="23"/>
      <c r="K18" s="33"/>
    </row>
    <row r="19" spans="1:11">
      <c r="A19" s="169"/>
      <c r="B19" s="166"/>
      <c r="C19" s="21" t="str">
        <f t="shared" si="2"/>
        <v>sample.general.cas_number</v>
      </c>
      <c r="D19" s="31"/>
      <c r="E19" s="31"/>
      <c r="F19" s="32" t="s">
        <v>55</v>
      </c>
      <c r="G19" s="23" t="s">
        <v>56</v>
      </c>
      <c r="H19" s="32" t="s">
        <v>27</v>
      </c>
      <c r="I19" s="23"/>
      <c r="J19" s="23"/>
      <c r="K19" s="33"/>
    </row>
    <row r="20" spans="1:11">
      <c r="A20" s="169"/>
      <c r="B20" s="166"/>
      <c r="C20" s="21" t="str">
        <f t="shared" si="2"/>
        <v>sample.general.crystal_structure</v>
      </c>
      <c r="D20" s="31"/>
      <c r="E20" s="31"/>
      <c r="F20" s="32" t="s">
        <v>57</v>
      </c>
      <c r="G20" s="23" t="s">
        <v>58</v>
      </c>
      <c r="H20" s="32" t="s">
        <v>27</v>
      </c>
      <c r="I20" s="23"/>
      <c r="J20" s="23"/>
      <c r="K20" s="33"/>
    </row>
    <row r="21" spans="1:11">
      <c r="A21" s="169"/>
      <c r="B21" s="166"/>
      <c r="C21" s="21" t="str">
        <f t="shared" si="2"/>
        <v>sample.general.sample_shape</v>
      </c>
      <c r="D21" s="31"/>
      <c r="E21" s="31"/>
      <c r="F21" s="32" t="s">
        <v>59</v>
      </c>
      <c r="G21" s="23" t="s">
        <v>60</v>
      </c>
      <c r="H21" s="32" t="s">
        <v>27</v>
      </c>
      <c r="I21" s="23"/>
      <c r="J21" s="23"/>
      <c r="K21" s="33"/>
    </row>
    <row r="22" spans="1:11">
      <c r="A22" s="169"/>
      <c r="B22" s="166"/>
      <c r="C22" s="21" t="str">
        <f t="shared" si="2"/>
        <v>sample.general.purchase_date</v>
      </c>
      <c r="D22" s="31"/>
      <c r="E22" s="31"/>
      <c r="F22" s="32" t="s">
        <v>61</v>
      </c>
      <c r="G22" s="23" t="s">
        <v>62</v>
      </c>
      <c r="H22" s="32" t="s">
        <v>27</v>
      </c>
      <c r="I22" s="23"/>
      <c r="J22" s="23"/>
      <c r="K22" s="33"/>
    </row>
    <row r="23" spans="1:11">
      <c r="A23" s="169"/>
      <c r="B23" s="166"/>
      <c r="C23" s="21" t="str">
        <f t="shared" si="2"/>
        <v>sample.general.supplier</v>
      </c>
      <c r="D23" s="31"/>
      <c r="E23" s="31"/>
      <c r="F23" s="32" t="s">
        <v>63</v>
      </c>
      <c r="G23" s="23" t="s">
        <v>64</v>
      </c>
      <c r="H23" s="32" t="s">
        <v>27</v>
      </c>
      <c r="I23" s="23"/>
      <c r="J23" s="23"/>
      <c r="K23" s="33"/>
    </row>
    <row r="24" spans="1:11" ht="18.5" thickBot="1">
      <c r="A24" s="170"/>
      <c r="B24" s="167"/>
      <c r="C24" s="25" t="str">
        <f t="shared" si="2"/>
        <v>sample.general.lot_number_or_product_number_etc</v>
      </c>
      <c r="D24" s="34"/>
      <c r="E24" s="34"/>
      <c r="F24" s="35" t="s">
        <v>65</v>
      </c>
      <c r="G24" s="35" t="s">
        <v>66</v>
      </c>
      <c r="H24" s="35" t="s">
        <v>27</v>
      </c>
      <c r="I24" s="35"/>
      <c r="J24" s="27"/>
      <c r="K24" s="36"/>
    </row>
    <row r="25" spans="1:11">
      <c r="A25" s="78"/>
      <c r="B25" s="171" t="s">
        <v>67</v>
      </c>
      <c r="C25" s="82" t="s">
        <v>68</v>
      </c>
      <c r="D25" s="83"/>
      <c r="E25" s="83"/>
      <c r="F25" s="84" t="s">
        <v>69</v>
      </c>
      <c r="G25" s="84" t="s">
        <v>70</v>
      </c>
      <c r="H25" s="84" t="s">
        <v>71</v>
      </c>
      <c r="I25" s="84"/>
      <c r="J25" s="85"/>
      <c r="K25" s="86" t="s">
        <v>72</v>
      </c>
    </row>
    <row r="26" spans="1:11">
      <c r="A26" s="78"/>
      <c r="B26" s="163"/>
      <c r="C26" s="82" t="s">
        <v>73</v>
      </c>
      <c r="D26" s="83"/>
      <c r="E26" s="83"/>
      <c r="F26" s="84" t="s">
        <v>74</v>
      </c>
      <c r="G26" s="84" t="s">
        <v>75</v>
      </c>
      <c r="H26" s="84" t="s">
        <v>71</v>
      </c>
      <c r="I26" s="84"/>
      <c r="J26" s="85"/>
      <c r="K26" s="86" t="s">
        <v>72</v>
      </c>
    </row>
    <row r="27" spans="1:11">
      <c r="A27" s="78"/>
      <c r="B27" s="163"/>
      <c r="C27" s="82"/>
      <c r="D27" s="83"/>
      <c r="E27" s="83"/>
      <c r="F27" s="84" t="s">
        <v>76</v>
      </c>
      <c r="G27" s="84"/>
      <c r="H27" s="84" t="s">
        <v>71</v>
      </c>
      <c r="I27" s="84"/>
      <c r="J27" s="85"/>
      <c r="K27" s="86" t="s">
        <v>72</v>
      </c>
    </row>
    <row r="28" spans="1:11">
      <c r="A28" s="159" t="s">
        <v>77</v>
      </c>
      <c r="B28" s="163"/>
      <c r="C28" s="32" t="s">
        <v>78</v>
      </c>
      <c r="D28" s="22"/>
      <c r="E28" s="22"/>
      <c r="F28" s="32" t="s">
        <v>79</v>
      </c>
      <c r="G28" s="32" t="s">
        <v>78</v>
      </c>
      <c r="H28" s="21" t="s">
        <v>21</v>
      </c>
      <c r="I28" s="1"/>
      <c r="J28" s="1"/>
      <c r="K28" s="24"/>
    </row>
    <row r="29" spans="1:11">
      <c r="A29" s="159"/>
      <c r="B29" s="163"/>
      <c r="C29" s="32" t="s">
        <v>80</v>
      </c>
      <c r="D29" s="31"/>
      <c r="E29" s="31"/>
      <c r="F29" s="32" t="s">
        <v>81</v>
      </c>
      <c r="G29" s="32" t="s">
        <v>80</v>
      </c>
      <c r="H29" s="21" t="s">
        <v>21</v>
      </c>
      <c r="I29" s="23"/>
      <c r="J29" s="23"/>
      <c r="K29" s="33"/>
    </row>
    <row r="30" spans="1:11" ht="18.75" customHeight="1">
      <c r="A30" s="159"/>
      <c r="B30" s="163"/>
      <c r="C30" s="32" t="s">
        <v>82</v>
      </c>
      <c r="D30" s="22"/>
      <c r="E30" s="22"/>
      <c r="F30" s="32" t="s">
        <v>83</v>
      </c>
      <c r="G30" s="32" t="s">
        <v>82</v>
      </c>
      <c r="H30" s="21" t="s">
        <v>21</v>
      </c>
      <c r="I30" s="23"/>
      <c r="J30" s="23"/>
      <c r="K30" s="33"/>
    </row>
    <row r="31" spans="1:11" ht="18.75" customHeight="1">
      <c r="A31" s="159"/>
      <c r="B31" s="163"/>
      <c r="C31" s="32" t="s">
        <v>84</v>
      </c>
      <c r="D31" s="31"/>
      <c r="E31" s="31"/>
      <c r="F31" s="32" t="s">
        <v>85</v>
      </c>
      <c r="G31" s="32" t="s">
        <v>84</v>
      </c>
      <c r="H31" s="21" t="s">
        <v>21</v>
      </c>
      <c r="I31" s="23"/>
      <c r="J31" s="23"/>
      <c r="K31" s="33"/>
    </row>
    <row r="32" spans="1:11" ht="18.75" customHeight="1">
      <c r="A32" s="159"/>
      <c r="B32" s="163"/>
      <c r="C32" s="32" t="s">
        <v>86</v>
      </c>
      <c r="D32" s="31"/>
      <c r="E32" s="31"/>
      <c r="F32" s="32" t="s">
        <v>87</v>
      </c>
      <c r="G32" s="32" t="s">
        <v>86</v>
      </c>
      <c r="H32" s="21" t="s">
        <v>21</v>
      </c>
      <c r="I32" s="23"/>
      <c r="J32" s="23"/>
      <c r="K32" s="33"/>
    </row>
    <row r="33" spans="1:14">
      <c r="A33" s="159"/>
      <c r="B33" s="163"/>
      <c r="C33" s="32" t="s">
        <v>88</v>
      </c>
      <c r="D33" s="22"/>
      <c r="E33" s="22"/>
      <c r="F33" s="32" t="s">
        <v>89</v>
      </c>
      <c r="G33" s="32" t="s">
        <v>88</v>
      </c>
      <c r="H33" s="21" t="s">
        <v>21</v>
      </c>
      <c r="I33" s="1"/>
      <c r="J33" s="1"/>
      <c r="K33" s="24"/>
    </row>
    <row r="34" spans="1:14">
      <c r="A34" s="159"/>
      <c r="B34" s="163"/>
      <c r="C34" s="32" t="s">
        <v>90</v>
      </c>
      <c r="D34" s="31"/>
      <c r="E34" s="31"/>
      <c r="F34" s="32" t="s">
        <v>91</v>
      </c>
      <c r="G34" s="32" t="s">
        <v>90</v>
      </c>
      <c r="H34" s="21" t="s">
        <v>21</v>
      </c>
      <c r="I34" s="23"/>
      <c r="J34" s="23"/>
      <c r="K34" s="33"/>
    </row>
    <row r="35" spans="1:14" ht="18.75" customHeight="1">
      <c r="A35" s="159"/>
      <c r="B35" s="163"/>
      <c r="C35" s="32" t="s">
        <v>92</v>
      </c>
      <c r="D35" s="22"/>
      <c r="E35" s="22"/>
      <c r="F35" s="32" t="s">
        <v>93</v>
      </c>
      <c r="G35" s="32" t="s">
        <v>92</v>
      </c>
      <c r="H35" s="21" t="s">
        <v>21</v>
      </c>
      <c r="I35" s="23"/>
      <c r="J35" s="23"/>
      <c r="K35" s="33"/>
    </row>
    <row r="36" spans="1:14" ht="18.75" customHeight="1">
      <c r="A36" s="159"/>
      <c r="B36" s="163"/>
      <c r="C36" s="32" t="s">
        <v>94</v>
      </c>
      <c r="D36" s="31"/>
      <c r="E36" s="31"/>
      <c r="F36" s="32" t="s">
        <v>95</v>
      </c>
      <c r="G36" s="32" t="s">
        <v>94</v>
      </c>
      <c r="H36" s="21" t="s">
        <v>21</v>
      </c>
      <c r="I36" s="23"/>
      <c r="J36" s="23"/>
      <c r="K36" s="33"/>
    </row>
    <row r="37" spans="1:14" ht="18.75" customHeight="1">
      <c r="A37" s="159"/>
      <c r="B37" s="164"/>
      <c r="C37" s="32" t="s">
        <v>96</v>
      </c>
      <c r="D37" s="31"/>
      <c r="E37" s="31"/>
      <c r="F37" s="32" t="s">
        <v>97</v>
      </c>
      <c r="G37" s="32" t="s">
        <v>96</v>
      </c>
      <c r="H37" s="21" t="s">
        <v>21</v>
      </c>
      <c r="I37" s="23"/>
      <c r="J37" s="23"/>
      <c r="K37" s="33"/>
    </row>
    <row r="38" spans="1:14">
      <c r="A38" s="159"/>
      <c r="B38" s="162" t="s">
        <v>98</v>
      </c>
      <c r="C38" s="21" t="str">
        <f>"common_"&amp;SUBSTITUTE(LOWER(TRIM(G38))," ","_")</f>
        <v>common_data_type</v>
      </c>
      <c r="D38" s="22"/>
      <c r="E38" s="22"/>
      <c r="F38" s="21" t="s">
        <v>99</v>
      </c>
      <c r="G38" s="21" t="s">
        <v>100</v>
      </c>
      <c r="H38" s="21" t="s">
        <v>21</v>
      </c>
      <c r="I38" s="23"/>
      <c r="J38" s="23"/>
      <c r="K38" s="24" t="s">
        <v>101</v>
      </c>
      <c r="N38" s="37"/>
    </row>
    <row r="39" spans="1:14">
      <c r="A39" s="159"/>
      <c r="B39" s="163"/>
      <c r="C39" s="21" t="str">
        <f t="shared" ref="C39:C41" si="3">"common_"&amp;SUBSTITUTE(LOWER(TRIM(G39))," ","_")</f>
        <v>common_data_origin</v>
      </c>
      <c r="D39" s="22"/>
      <c r="E39" s="22"/>
      <c r="F39" s="21" t="s">
        <v>102</v>
      </c>
      <c r="G39" s="21" t="s">
        <v>103</v>
      </c>
      <c r="H39" s="21" t="s">
        <v>21</v>
      </c>
      <c r="I39" s="23"/>
      <c r="J39" s="23"/>
      <c r="K39" s="24" t="s">
        <v>104</v>
      </c>
      <c r="N39" s="37"/>
    </row>
    <row r="40" spans="1:14">
      <c r="A40" s="159"/>
      <c r="B40" s="163"/>
      <c r="C40" s="21" t="str">
        <f t="shared" si="3"/>
        <v>common_technical_category</v>
      </c>
      <c r="D40" s="22"/>
      <c r="E40" s="22"/>
      <c r="F40" s="21" t="s">
        <v>105</v>
      </c>
      <c r="G40" s="21" t="s">
        <v>106</v>
      </c>
      <c r="H40" s="21" t="s">
        <v>21</v>
      </c>
      <c r="I40" s="23"/>
      <c r="J40" s="23"/>
      <c r="K40" s="24" t="s">
        <v>107</v>
      </c>
      <c r="N40" s="37"/>
    </row>
    <row r="41" spans="1:14">
      <c r="A41" s="159"/>
      <c r="B41" s="164"/>
      <c r="C41" s="21" t="str">
        <f t="shared" si="3"/>
        <v>common_reference</v>
      </c>
      <c r="D41" s="22"/>
      <c r="E41" s="22"/>
      <c r="F41" s="21" t="s">
        <v>108</v>
      </c>
      <c r="G41" s="21" t="s">
        <v>109</v>
      </c>
      <c r="H41" s="21" t="s">
        <v>21</v>
      </c>
      <c r="I41" s="23"/>
      <c r="J41" s="23"/>
      <c r="K41" s="24"/>
      <c r="N41" s="37"/>
    </row>
    <row r="42" spans="1:14">
      <c r="A42" s="159"/>
      <c r="B42" s="156" t="s">
        <v>110</v>
      </c>
      <c r="C42" s="21" t="str">
        <f>"measurement_"&amp;SUBSTITUTE(LOWER(TRIM(G42))," ","_")</f>
        <v>measurement_method_category</v>
      </c>
      <c r="D42" s="22"/>
      <c r="E42" s="22"/>
      <c r="F42" s="21" t="s">
        <v>111</v>
      </c>
      <c r="G42" s="21" t="s">
        <v>112</v>
      </c>
      <c r="H42" s="21" t="s">
        <v>21</v>
      </c>
      <c r="I42" s="23"/>
      <c r="J42" s="23"/>
      <c r="K42" s="24" t="s">
        <v>113</v>
      </c>
      <c r="N42" s="37"/>
    </row>
    <row r="43" spans="1:14">
      <c r="A43" s="160"/>
      <c r="B43" s="162"/>
      <c r="C43" s="39" t="str">
        <f t="shared" ref="C43:C49" si="4">"measurement_"&amp;SUBSTITUTE(LOWER(TRIM(G43))," ","_")</f>
        <v>measurement_method_sub-category</v>
      </c>
      <c r="D43" s="40"/>
      <c r="E43" s="40"/>
      <c r="F43" s="39" t="s">
        <v>114</v>
      </c>
      <c r="G43" s="39" t="s">
        <v>115</v>
      </c>
      <c r="H43" s="21" t="s">
        <v>21</v>
      </c>
      <c r="I43" s="38"/>
      <c r="J43" s="38"/>
      <c r="K43" s="79" t="s">
        <v>116</v>
      </c>
      <c r="L43" s="37" t="s">
        <v>117</v>
      </c>
      <c r="N43" s="37"/>
    </row>
    <row r="44" spans="1:14">
      <c r="A44" s="160"/>
      <c r="B44" s="162"/>
      <c r="C44" s="39" t="str">
        <f t="shared" si="4"/>
        <v>measurement_analysis_field</v>
      </c>
      <c r="D44" s="40"/>
      <c r="E44" s="40"/>
      <c r="F44" s="39" t="s">
        <v>118</v>
      </c>
      <c r="G44" s="39" t="s">
        <v>119</v>
      </c>
      <c r="H44" s="21" t="s">
        <v>21</v>
      </c>
      <c r="I44" s="38"/>
      <c r="J44" s="38"/>
      <c r="K44" s="24" t="s">
        <v>120</v>
      </c>
      <c r="N44" s="37"/>
    </row>
    <row r="45" spans="1:14">
      <c r="A45" s="160"/>
      <c r="B45" s="162"/>
      <c r="C45" s="39" t="str">
        <f t="shared" si="4"/>
        <v>measurement_measurement_environment</v>
      </c>
      <c r="D45" s="40"/>
      <c r="E45" s="40"/>
      <c r="F45" s="39" t="s">
        <v>121</v>
      </c>
      <c r="G45" s="39" t="s">
        <v>122</v>
      </c>
      <c r="H45" s="21" t="s">
        <v>21</v>
      </c>
      <c r="I45" s="38"/>
      <c r="J45" s="38"/>
      <c r="K45" s="41"/>
      <c r="N45" s="37"/>
    </row>
    <row r="46" spans="1:14">
      <c r="A46" s="160"/>
      <c r="B46" s="162"/>
      <c r="C46" s="39" t="str">
        <f t="shared" si="4"/>
        <v>measurement_energy_level_transition_structure_etc._of_interest</v>
      </c>
      <c r="D46" s="40"/>
      <c r="E46" s="40"/>
      <c r="F46" s="39" t="s">
        <v>123</v>
      </c>
      <c r="G46" s="39" t="s">
        <v>124</v>
      </c>
      <c r="H46" s="21" t="s">
        <v>21</v>
      </c>
      <c r="I46" s="38"/>
      <c r="J46" s="38"/>
      <c r="K46" s="87"/>
      <c r="L46" s="37" t="s">
        <v>125</v>
      </c>
      <c r="N46" s="37"/>
    </row>
    <row r="47" spans="1:14">
      <c r="A47" s="160"/>
      <c r="B47" s="162"/>
      <c r="C47" s="39" t="str">
        <f t="shared" si="4"/>
        <v>measurement_measured_date</v>
      </c>
      <c r="D47" s="40"/>
      <c r="E47" s="40"/>
      <c r="F47" s="39" t="s">
        <v>126</v>
      </c>
      <c r="G47" s="39" t="s">
        <v>127</v>
      </c>
      <c r="H47" s="39" t="s">
        <v>128</v>
      </c>
      <c r="I47" s="38"/>
      <c r="J47" s="38"/>
      <c r="K47" s="41"/>
      <c r="N47" s="37"/>
    </row>
    <row r="48" spans="1:14">
      <c r="A48" s="160"/>
      <c r="B48" s="162"/>
      <c r="C48" s="39" t="str">
        <f t="shared" si="4"/>
        <v>measurement_standardized_procedure</v>
      </c>
      <c r="D48" s="40"/>
      <c r="E48" s="40"/>
      <c r="F48" s="39" t="s">
        <v>129</v>
      </c>
      <c r="G48" s="39" t="s">
        <v>130</v>
      </c>
      <c r="H48" s="39" t="s">
        <v>21</v>
      </c>
      <c r="I48" s="38"/>
      <c r="J48" s="38"/>
      <c r="K48" s="41"/>
      <c r="N48" s="37"/>
    </row>
    <row r="49" spans="1:14" ht="18.5" thickBot="1">
      <c r="A49" s="161"/>
      <c r="B49" s="158"/>
      <c r="C49" s="25" t="str">
        <f t="shared" si="4"/>
        <v>measurement_instrumentation_site</v>
      </c>
      <c r="D49" s="26"/>
      <c r="E49" s="26"/>
      <c r="F49" s="25" t="s">
        <v>131</v>
      </c>
      <c r="G49" s="25" t="s">
        <v>132</v>
      </c>
      <c r="H49" s="25" t="s">
        <v>21</v>
      </c>
      <c r="I49" s="27"/>
      <c r="J49" s="27"/>
      <c r="K49" s="2"/>
      <c r="N49" s="37"/>
    </row>
    <row r="50" spans="1:14" ht="20">
      <c r="G50" s="42"/>
    </row>
  </sheetData>
  <mergeCells count="7">
    <mergeCell ref="A5:B10"/>
    <mergeCell ref="A28:A49"/>
    <mergeCell ref="B38:B41"/>
    <mergeCell ref="B42:B49"/>
    <mergeCell ref="B11:B24"/>
    <mergeCell ref="A11:A24"/>
    <mergeCell ref="B25:B37"/>
  </mergeCells>
  <phoneticPr fontId="2"/>
  <conditionalFormatting sqref="K5:K10">
    <cfRule type="expression" dxfId="23" priority="17">
      <formula>#REF!=1</formula>
    </cfRule>
    <cfRule type="expression" dxfId="22" priority="18">
      <formula>#REF!=1</formula>
    </cfRule>
  </conditionalFormatting>
  <conditionalFormatting sqref="K28">
    <cfRule type="expression" dxfId="21" priority="5">
      <formula>#REF!=1</formula>
    </cfRule>
    <cfRule type="expression" dxfId="20" priority="6">
      <formula>#REF!=1</formula>
    </cfRule>
  </conditionalFormatting>
  <conditionalFormatting sqref="K33">
    <cfRule type="expression" dxfId="19" priority="1">
      <formula>#REF!=1</formula>
    </cfRule>
    <cfRule type="expression" dxfId="18" priority="2">
      <formula>#REF!=1</formula>
    </cfRule>
  </conditionalFormatting>
  <conditionalFormatting sqref="K38:K49">
    <cfRule type="expression" dxfId="17" priority="3">
      <formula>#REF!=1</formula>
    </cfRule>
    <cfRule type="expression" dxfId="16" priority="4">
      <formula>#REF!=1</formula>
    </cfRule>
  </conditionalFormatting>
  <dataValidations count="2">
    <dataValidation type="list" allowBlank="1" showInputMessage="1" showErrorMessage="1" sqref="I24:I27 H5:H49" xr:uid="{2CD015C8-BE30-4324-AA8D-82B0B398A062}">
      <formula1>"string,string[date],number,integer"</formula1>
    </dataValidation>
    <dataValidation type="list" allowBlank="1" showInputMessage="1" showErrorMessage="1" sqref="K5" xr:uid="{33CC998B-E5D0-4314-BAC3-BFC6DFF99024}">
      <formula1>#REF!</formula1>
    </dataValidation>
  </dataValidations>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3DC52-1465-48EE-B128-D5659D10F49E}">
  <dimension ref="A1:L39"/>
  <sheetViews>
    <sheetView topLeftCell="A7" zoomScale="80" zoomScaleNormal="80" workbookViewId="0">
      <selection activeCell="I32" sqref="I32"/>
    </sheetView>
  </sheetViews>
  <sheetFormatPr defaultColWidth="9" defaultRowHeight="18"/>
  <cols>
    <col min="1" max="1" width="16.08203125" style="3" bestFit="1" customWidth="1"/>
    <col min="2" max="3" width="33.08203125" style="3" customWidth="1"/>
    <col min="4" max="4" width="9.33203125" style="3" customWidth="1"/>
    <col min="5" max="6" width="33.08203125" style="3" customWidth="1"/>
    <col min="7" max="8" width="13.08203125" style="3" customWidth="1"/>
    <col min="9" max="11" width="33.08203125" style="3" customWidth="1"/>
    <col min="12" max="12" width="44.08203125" style="3" customWidth="1"/>
    <col min="13" max="16384" width="9" style="3"/>
  </cols>
  <sheetData>
    <row r="1" spans="1:11">
      <c r="A1" s="3" t="s">
        <v>133</v>
      </c>
      <c r="B1" s="3" t="s">
        <v>1</v>
      </c>
      <c r="C1" s="3" t="s">
        <v>134</v>
      </c>
      <c r="E1" s="3" t="s">
        <v>2</v>
      </c>
      <c r="F1" s="3" t="s">
        <v>3</v>
      </c>
      <c r="G1" s="6" t="s">
        <v>4</v>
      </c>
      <c r="H1" s="3" t="s">
        <v>5</v>
      </c>
      <c r="I1" s="3" t="s">
        <v>6</v>
      </c>
      <c r="J1" s="6" t="s">
        <v>7</v>
      </c>
    </row>
    <row r="2" spans="1:11" ht="108">
      <c r="B2" s="43" t="s">
        <v>135</v>
      </c>
      <c r="C2" s="44" t="s">
        <v>136</v>
      </c>
      <c r="D2" s="43" t="s">
        <v>137</v>
      </c>
      <c r="E2" s="44" t="s">
        <v>11</v>
      </c>
      <c r="F2" s="44" t="s">
        <v>138</v>
      </c>
      <c r="G2" s="43" t="s">
        <v>13</v>
      </c>
      <c r="H2" s="45" t="s">
        <v>14</v>
      </c>
      <c r="I2" s="45" t="s">
        <v>15</v>
      </c>
      <c r="J2" s="46" t="s">
        <v>16</v>
      </c>
      <c r="K2" s="47" t="s">
        <v>139</v>
      </c>
    </row>
    <row r="3" spans="1:11" ht="20">
      <c r="A3" s="172" t="s">
        <v>140</v>
      </c>
      <c r="B3" s="48" t="s">
        <v>141</v>
      </c>
      <c r="C3" s="23" t="s">
        <v>142</v>
      </c>
      <c r="D3" s="23"/>
      <c r="E3" s="21" t="s">
        <v>142</v>
      </c>
      <c r="F3" s="21" t="s">
        <v>142</v>
      </c>
      <c r="G3" s="23" t="s">
        <v>21</v>
      </c>
      <c r="H3" s="49"/>
      <c r="I3" s="23"/>
      <c r="J3" s="50"/>
      <c r="K3" s="23"/>
    </row>
    <row r="4" spans="1:11" ht="20">
      <c r="A4" s="173"/>
      <c r="B4" s="48" t="s">
        <v>143</v>
      </c>
      <c r="C4" s="23" t="s">
        <v>144</v>
      </c>
      <c r="D4" s="23"/>
      <c r="E4" s="21" t="s">
        <v>144</v>
      </c>
      <c r="F4" s="21" t="s">
        <v>144</v>
      </c>
      <c r="G4" s="23" t="s">
        <v>21</v>
      </c>
      <c r="H4" s="49"/>
      <c r="I4" s="23"/>
      <c r="J4" s="50"/>
      <c r="K4" s="23"/>
    </row>
    <row r="5" spans="1:11" ht="20">
      <c r="A5" s="173"/>
      <c r="B5" s="48" t="s">
        <v>145</v>
      </c>
      <c r="C5" s="23" t="s">
        <v>146</v>
      </c>
      <c r="D5" s="23"/>
      <c r="E5" s="21" t="s">
        <v>147</v>
      </c>
      <c r="F5" s="21" t="s">
        <v>146</v>
      </c>
      <c r="G5" s="23" t="s">
        <v>21</v>
      </c>
      <c r="H5" s="49"/>
      <c r="I5" s="23"/>
      <c r="J5" s="50"/>
      <c r="K5" s="23"/>
    </row>
    <row r="6" spans="1:11" ht="20">
      <c r="A6" s="173"/>
      <c r="B6" s="48" t="s">
        <v>148</v>
      </c>
      <c r="C6" s="23" t="s">
        <v>149</v>
      </c>
      <c r="D6" s="23"/>
      <c r="E6" s="21" t="s">
        <v>150</v>
      </c>
      <c r="F6" s="21" t="s">
        <v>149</v>
      </c>
      <c r="G6" s="23" t="s">
        <v>21</v>
      </c>
      <c r="H6" s="49"/>
      <c r="I6" s="23"/>
      <c r="J6" s="50"/>
      <c r="K6" s="23"/>
    </row>
    <row r="7" spans="1:11" ht="20">
      <c r="A7" s="173"/>
      <c r="B7" s="48" t="s">
        <v>151</v>
      </c>
      <c r="C7" s="23" t="s">
        <v>152</v>
      </c>
      <c r="D7" s="23"/>
      <c r="E7" s="21" t="s">
        <v>153</v>
      </c>
      <c r="F7" s="21" t="s">
        <v>152</v>
      </c>
      <c r="G7" s="23" t="s">
        <v>21</v>
      </c>
      <c r="H7" s="49"/>
      <c r="I7" s="23"/>
      <c r="J7" s="50"/>
      <c r="K7" s="23"/>
    </row>
    <row r="8" spans="1:11" ht="20">
      <c r="A8" s="173"/>
      <c r="B8" s="48" t="s">
        <v>154</v>
      </c>
      <c r="C8" s="23" t="s">
        <v>155</v>
      </c>
      <c r="D8" s="23"/>
      <c r="E8" s="21" t="s">
        <v>156</v>
      </c>
      <c r="F8" s="21" t="s">
        <v>155</v>
      </c>
      <c r="G8" s="23" t="s">
        <v>21</v>
      </c>
      <c r="H8" s="49"/>
      <c r="I8" s="23"/>
      <c r="J8" s="50"/>
      <c r="K8" s="23"/>
    </row>
    <row r="9" spans="1:11" ht="20">
      <c r="A9" s="173"/>
      <c r="B9" s="48" t="s">
        <v>157</v>
      </c>
      <c r="C9" s="23" t="s">
        <v>158</v>
      </c>
      <c r="D9" s="23"/>
      <c r="E9" s="21" t="s">
        <v>159</v>
      </c>
      <c r="F9" s="21" t="s">
        <v>158</v>
      </c>
      <c r="G9" s="23" t="s">
        <v>21</v>
      </c>
      <c r="H9" s="49"/>
      <c r="I9" s="23"/>
      <c r="J9" s="50"/>
      <c r="K9" s="23"/>
    </row>
    <row r="10" spans="1:11" ht="20">
      <c r="A10" s="173"/>
      <c r="B10" s="48" t="s">
        <v>160</v>
      </c>
      <c r="C10" s="23" t="s">
        <v>161</v>
      </c>
      <c r="D10" s="23"/>
      <c r="E10" s="21" t="s">
        <v>162</v>
      </c>
      <c r="F10" s="21" t="s">
        <v>161</v>
      </c>
      <c r="G10" s="23" t="s">
        <v>21</v>
      </c>
      <c r="H10" s="49" t="s">
        <v>163</v>
      </c>
      <c r="I10" s="23"/>
      <c r="J10" s="50"/>
      <c r="K10" s="23"/>
    </row>
    <row r="11" spans="1:11" ht="20">
      <c r="A11" s="173"/>
      <c r="B11" s="48" t="s">
        <v>164</v>
      </c>
      <c r="C11" s="23" t="s">
        <v>165</v>
      </c>
      <c r="D11" s="23"/>
      <c r="E11" s="21" t="s">
        <v>166</v>
      </c>
      <c r="F11" s="21" t="s">
        <v>165</v>
      </c>
      <c r="G11" s="23" t="s">
        <v>21</v>
      </c>
      <c r="H11" s="49"/>
      <c r="I11" s="23"/>
      <c r="J11" s="50"/>
      <c r="K11" s="23"/>
    </row>
    <row r="12" spans="1:11" ht="20">
      <c r="A12" s="173"/>
      <c r="B12" s="48" t="s">
        <v>167</v>
      </c>
      <c r="C12" s="23" t="s">
        <v>168</v>
      </c>
      <c r="D12" s="23"/>
      <c r="E12" s="21" t="s">
        <v>169</v>
      </c>
      <c r="F12" s="21" t="s">
        <v>168</v>
      </c>
      <c r="G12" s="23" t="s">
        <v>21</v>
      </c>
      <c r="H12" s="51"/>
      <c r="I12" s="23"/>
      <c r="J12" s="50"/>
      <c r="K12" s="23"/>
    </row>
    <row r="13" spans="1:11" ht="20">
      <c r="A13" s="173"/>
      <c r="B13" s="48" t="s">
        <v>170</v>
      </c>
      <c r="C13" s="23" t="s">
        <v>171</v>
      </c>
      <c r="D13" s="23"/>
      <c r="E13" s="21" t="s">
        <v>172</v>
      </c>
      <c r="F13" s="21" t="s">
        <v>171</v>
      </c>
      <c r="G13" s="23" t="s">
        <v>21</v>
      </c>
      <c r="H13" s="49"/>
      <c r="I13" s="52"/>
      <c r="J13" s="53"/>
      <c r="K13" s="52"/>
    </row>
    <row r="14" spans="1:11" ht="20">
      <c r="A14" s="173"/>
      <c r="B14" s="54" t="s">
        <v>173</v>
      </c>
      <c r="C14" s="55" t="s">
        <v>174</v>
      </c>
      <c r="D14" s="56"/>
      <c r="E14" s="57" t="s">
        <v>175</v>
      </c>
      <c r="F14" s="57" t="s">
        <v>174</v>
      </c>
      <c r="G14" s="23" t="s">
        <v>21</v>
      </c>
      <c r="H14" s="51"/>
      <c r="I14" s="52"/>
      <c r="J14" s="53"/>
      <c r="K14" s="52"/>
    </row>
    <row r="15" spans="1:11" ht="20">
      <c r="A15" s="173"/>
      <c r="B15" s="48" t="s">
        <v>176</v>
      </c>
      <c r="C15" s="58" t="s">
        <v>177</v>
      </c>
      <c r="D15" s="21"/>
      <c r="E15" s="21" t="s">
        <v>178</v>
      </c>
      <c r="F15" s="21" t="s">
        <v>177</v>
      </c>
      <c r="G15" s="23" t="s">
        <v>21</v>
      </c>
      <c r="H15" s="59"/>
      <c r="I15" s="23"/>
      <c r="J15" s="50"/>
      <c r="K15" s="23"/>
    </row>
    <row r="16" spans="1:11" ht="20">
      <c r="A16" s="173"/>
      <c r="B16" s="48" t="s">
        <v>179</v>
      </c>
      <c r="C16" s="32" t="s">
        <v>180</v>
      </c>
      <c r="D16" s="60"/>
      <c r="E16" s="32" t="s">
        <v>181</v>
      </c>
      <c r="F16" s="32" t="s">
        <v>180</v>
      </c>
      <c r="G16" s="23" t="s">
        <v>21</v>
      </c>
      <c r="H16" s="59"/>
      <c r="I16" s="23"/>
      <c r="J16" s="50"/>
      <c r="K16" s="23"/>
    </row>
    <row r="17" spans="1:12" ht="20">
      <c r="A17" s="173"/>
      <c r="B17" s="48" t="s">
        <v>182</v>
      </c>
      <c r="C17" s="32" t="s">
        <v>183</v>
      </c>
      <c r="D17" s="60"/>
      <c r="E17" s="32" t="s">
        <v>184</v>
      </c>
      <c r="F17" s="32" t="s">
        <v>183</v>
      </c>
      <c r="G17" s="23" t="s">
        <v>21</v>
      </c>
      <c r="H17" s="59"/>
      <c r="I17" s="23"/>
      <c r="J17" s="50"/>
      <c r="K17" s="23"/>
    </row>
    <row r="18" spans="1:12" ht="20">
      <c r="A18" s="173"/>
      <c r="B18" s="48" t="s">
        <v>185</v>
      </c>
      <c r="C18" s="32" t="s">
        <v>186</v>
      </c>
      <c r="D18" s="60"/>
      <c r="E18" s="32" t="s">
        <v>187</v>
      </c>
      <c r="F18" s="32" t="s">
        <v>186</v>
      </c>
      <c r="G18" s="23" t="s">
        <v>21</v>
      </c>
      <c r="H18" s="59"/>
      <c r="I18" s="23"/>
      <c r="J18" s="50"/>
      <c r="K18" s="23"/>
    </row>
    <row r="19" spans="1:12" ht="20">
      <c r="A19" s="173"/>
      <c r="B19" s="48" t="s">
        <v>188</v>
      </c>
      <c r="C19" s="32" t="s">
        <v>189</v>
      </c>
      <c r="D19" s="60"/>
      <c r="E19" s="32" t="s">
        <v>190</v>
      </c>
      <c r="F19" s="32" t="s">
        <v>189</v>
      </c>
      <c r="G19" s="23" t="s">
        <v>21</v>
      </c>
      <c r="H19" s="59"/>
      <c r="I19" s="21"/>
      <c r="J19" s="50"/>
      <c r="K19" s="21"/>
    </row>
    <row r="20" spans="1:12" ht="20">
      <c r="A20" s="173"/>
      <c r="B20" s="48" t="s">
        <v>191</v>
      </c>
      <c r="C20" s="32" t="s">
        <v>192</v>
      </c>
      <c r="D20" s="60"/>
      <c r="E20" s="32" t="s">
        <v>193</v>
      </c>
      <c r="F20" s="32" t="s">
        <v>192</v>
      </c>
      <c r="G20" s="23" t="s">
        <v>21</v>
      </c>
      <c r="H20" s="59"/>
      <c r="I20" s="21"/>
      <c r="J20" s="50"/>
      <c r="K20" s="21"/>
    </row>
    <row r="21" spans="1:12" ht="20">
      <c r="A21" s="173"/>
      <c r="B21" s="48" t="s">
        <v>194</v>
      </c>
      <c r="C21" s="21" t="s">
        <v>195</v>
      </c>
      <c r="D21" s="23"/>
      <c r="E21" s="21" t="s">
        <v>196</v>
      </c>
      <c r="F21" s="21" t="s">
        <v>195</v>
      </c>
      <c r="G21" s="23" t="s">
        <v>21</v>
      </c>
      <c r="H21" s="59"/>
      <c r="I21" s="21"/>
      <c r="J21" s="50"/>
      <c r="K21" s="21"/>
    </row>
    <row r="22" spans="1:12" ht="20">
      <c r="A22" s="173"/>
      <c r="B22" s="48" t="s">
        <v>197</v>
      </c>
      <c r="C22" s="21" t="s">
        <v>198</v>
      </c>
      <c r="D22" s="23"/>
      <c r="E22" s="21" t="s">
        <v>199</v>
      </c>
      <c r="F22" s="21" t="s">
        <v>198</v>
      </c>
      <c r="G22" s="23" t="s">
        <v>200</v>
      </c>
      <c r="H22" s="49" t="s">
        <v>201</v>
      </c>
      <c r="I22" s="21"/>
      <c r="J22" s="50"/>
      <c r="K22" s="21"/>
    </row>
    <row r="23" spans="1:12" ht="20">
      <c r="A23" s="173"/>
      <c r="B23" s="48" t="s">
        <v>202</v>
      </c>
      <c r="C23" s="23" t="s">
        <v>203</v>
      </c>
      <c r="D23" s="23"/>
      <c r="E23" s="21" t="s">
        <v>204</v>
      </c>
      <c r="F23" s="32" t="s">
        <v>203</v>
      </c>
      <c r="G23" s="23" t="s">
        <v>21</v>
      </c>
      <c r="H23" s="59"/>
      <c r="I23" s="23"/>
      <c r="J23" s="50"/>
      <c r="K23" s="23"/>
    </row>
    <row r="24" spans="1:12" ht="20">
      <c r="A24" s="173"/>
      <c r="B24" s="48" t="s">
        <v>205</v>
      </c>
      <c r="C24" s="23" t="s">
        <v>206</v>
      </c>
      <c r="D24" s="23"/>
      <c r="E24" s="61" t="s">
        <v>207</v>
      </c>
      <c r="F24" s="61" t="s">
        <v>206</v>
      </c>
      <c r="G24" s="23" t="s">
        <v>200</v>
      </c>
      <c r="H24" s="49"/>
      <c r="I24" s="23"/>
      <c r="J24" s="50"/>
      <c r="K24" s="23"/>
    </row>
    <row r="25" spans="1:12" ht="20">
      <c r="A25" s="173"/>
      <c r="B25" s="48" t="s">
        <v>208</v>
      </c>
      <c r="C25" s="23" t="s">
        <v>209</v>
      </c>
      <c r="D25" s="23"/>
      <c r="E25" s="21" t="s">
        <v>210</v>
      </c>
      <c r="F25" s="21" t="s">
        <v>209</v>
      </c>
      <c r="G25" s="23" t="s">
        <v>200</v>
      </c>
      <c r="H25" s="59"/>
      <c r="I25" s="23"/>
      <c r="J25" s="50"/>
      <c r="K25" s="23"/>
      <c r="L25" s="37" t="s">
        <v>211</v>
      </c>
    </row>
    <row r="26" spans="1:12" ht="20">
      <c r="A26" s="173"/>
      <c r="B26" s="48" t="s">
        <v>212</v>
      </c>
      <c r="C26" s="23" t="s">
        <v>213</v>
      </c>
      <c r="D26" s="23"/>
      <c r="E26" s="21" t="s">
        <v>214</v>
      </c>
      <c r="F26" s="21" t="s">
        <v>213</v>
      </c>
      <c r="G26" s="23" t="s">
        <v>21</v>
      </c>
      <c r="H26" s="59"/>
      <c r="I26" s="23"/>
      <c r="J26" s="50"/>
      <c r="K26" s="23"/>
    </row>
    <row r="27" spans="1:12" ht="20">
      <c r="A27" s="173"/>
      <c r="B27" s="48" t="s">
        <v>215</v>
      </c>
      <c r="C27" s="23" t="s">
        <v>216</v>
      </c>
      <c r="D27" s="23"/>
      <c r="E27" s="21" t="s">
        <v>217</v>
      </c>
      <c r="F27" s="21" t="s">
        <v>216</v>
      </c>
      <c r="G27" s="23" t="s">
        <v>200</v>
      </c>
      <c r="H27" s="59" t="s">
        <v>218</v>
      </c>
      <c r="I27" s="23"/>
      <c r="J27" s="76" t="s">
        <v>219</v>
      </c>
      <c r="K27" s="23"/>
      <c r="L27" s="88" t="s">
        <v>220</v>
      </c>
    </row>
    <row r="28" spans="1:12" ht="20">
      <c r="A28" s="173"/>
      <c r="B28" s="48" t="s">
        <v>221</v>
      </c>
      <c r="C28" s="23" t="s">
        <v>222</v>
      </c>
      <c r="D28" s="23"/>
      <c r="E28" s="61" t="s">
        <v>223</v>
      </c>
      <c r="F28" s="61" t="s">
        <v>222</v>
      </c>
      <c r="G28" s="23" t="s">
        <v>200</v>
      </c>
      <c r="H28" s="49" t="s">
        <v>224</v>
      </c>
      <c r="I28" s="23"/>
      <c r="J28" s="50"/>
      <c r="K28" s="23"/>
      <c r="L28" s="88" t="s">
        <v>220</v>
      </c>
    </row>
    <row r="29" spans="1:12" ht="20">
      <c r="A29" s="173"/>
      <c r="B29" s="48" t="s">
        <v>225</v>
      </c>
      <c r="C29" s="23" t="s">
        <v>226</v>
      </c>
      <c r="D29" s="23"/>
      <c r="E29" s="21" t="s">
        <v>227</v>
      </c>
      <c r="F29" s="21" t="s">
        <v>226</v>
      </c>
      <c r="G29" s="23" t="s">
        <v>21</v>
      </c>
      <c r="H29" s="49"/>
      <c r="I29" s="23"/>
      <c r="J29" s="50"/>
      <c r="K29" s="23"/>
    </row>
    <row r="30" spans="1:12" ht="20">
      <c r="A30" s="173"/>
      <c r="B30" s="48" t="s">
        <v>228</v>
      </c>
      <c r="C30" s="23" t="s">
        <v>229</v>
      </c>
      <c r="D30" s="23"/>
      <c r="E30" s="61" t="s">
        <v>230</v>
      </c>
      <c r="F30" s="61" t="s">
        <v>229</v>
      </c>
      <c r="G30" s="23" t="s">
        <v>21</v>
      </c>
      <c r="H30" s="59"/>
      <c r="I30" s="23"/>
      <c r="J30" s="50"/>
      <c r="K30" s="23"/>
    </row>
    <row r="31" spans="1:12" ht="20">
      <c r="A31" s="173"/>
      <c r="B31" s="48" t="s">
        <v>231</v>
      </c>
      <c r="C31" s="23" t="s">
        <v>232</v>
      </c>
      <c r="D31" s="23"/>
      <c r="E31" s="21" t="s">
        <v>233</v>
      </c>
      <c r="F31" s="21" t="s">
        <v>232</v>
      </c>
      <c r="G31" s="23" t="s">
        <v>21</v>
      </c>
      <c r="H31" s="59"/>
      <c r="I31" s="23"/>
      <c r="J31" s="50"/>
      <c r="K31" s="23"/>
    </row>
    <row r="32" spans="1:12" ht="20">
      <c r="A32" s="173"/>
      <c r="B32" s="48" t="s">
        <v>234</v>
      </c>
      <c r="C32" s="23" t="s">
        <v>235</v>
      </c>
      <c r="D32" s="23"/>
      <c r="E32" s="21" t="s">
        <v>236</v>
      </c>
      <c r="F32" s="21" t="s">
        <v>235</v>
      </c>
      <c r="G32" s="23" t="s">
        <v>21</v>
      </c>
      <c r="H32" s="59"/>
      <c r="I32" s="23"/>
      <c r="J32" s="50"/>
      <c r="K32" s="23"/>
    </row>
    <row r="33" spans="1:12" ht="20">
      <c r="A33" s="173"/>
      <c r="B33" s="48" t="s">
        <v>237</v>
      </c>
      <c r="C33" s="23" t="s">
        <v>238</v>
      </c>
      <c r="D33" s="23"/>
      <c r="E33" s="23" t="s">
        <v>239</v>
      </c>
      <c r="F33" s="23" t="s">
        <v>238</v>
      </c>
      <c r="G33" s="23" t="s">
        <v>21</v>
      </c>
      <c r="H33" s="49"/>
      <c r="I33" s="23"/>
      <c r="J33" s="50"/>
      <c r="K33" s="23"/>
    </row>
    <row r="34" spans="1:12" ht="20">
      <c r="A34" s="173"/>
      <c r="B34" s="48" t="s">
        <v>240</v>
      </c>
      <c r="C34" s="23" t="s">
        <v>241</v>
      </c>
      <c r="D34" s="23"/>
      <c r="E34" s="23" t="s">
        <v>242</v>
      </c>
      <c r="F34" s="23" t="s">
        <v>241</v>
      </c>
      <c r="G34" s="23" t="s">
        <v>21</v>
      </c>
      <c r="H34" s="49"/>
      <c r="I34" s="23"/>
      <c r="J34" s="50"/>
      <c r="K34" s="23"/>
    </row>
    <row r="35" spans="1:12" ht="20">
      <c r="A35" s="173"/>
      <c r="B35" s="48" t="s">
        <v>243</v>
      </c>
      <c r="C35" s="23" t="s">
        <v>244</v>
      </c>
      <c r="D35" s="23"/>
      <c r="E35" s="23" t="s">
        <v>245</v>
      </c>
      <c r="F35" s="23" t="s">
        <v>244</v>
      </c>
      <c r="G35" s="23" t="s">
        <v>21</v>
      </c>
      <c r="H35" s="21"/>
      <c r="I35" s="23"/>
      <c r="J35" s="50"/>
      <c r="K35" s="23"/>
    </row>
    <row r="36" spans="1:12" ht="20">
      <c r="A36" s="173"/>
      <c r="B36" s="48" t="s">
        <v>246</v>
      </c>
      <c r="C36" s="19"/>
      <c r="D36" s="23"/>
      <c r="E36" s="23" t="s">
        <v>247</v>
      </c>
      <c r="F36" s="23" t="s">
        <v>248</v>
      </c>
      <c r="G36" s="23" t="s">
        <v>249</v>
      </c>
      <c r="H36" s="21" t="s">
        <v>250</v>
      </c>
      <c r="I36" s="23"/>
      <c r="J36" s="50"/>
      <c r="K36" s="23" t="s">
        <v>251</v>
      </c>
    </row>
    <row r="37" spans="1:12" ht="20">
      <c r="A37" s="173"/>
      <c r="B37" s="48" t="s">
        <v>252</v>
      </c>
      <c r="C37" s="19"/>
      <c r="D37" s="23"/>
      <c r="E37" s="23" t="s">
        <v>253</v>
      </c>
      <c r="F37" s="23" t="s">
        <v>254</v>
      </c>
      <c r="G37" s="23" t="s">
        <v>249</v>
      </c>
      <c r="H37" s="21" t="s">
        <v>163</v>
      </c>
      <c r="I37" s="23"/>
      <c r="J37" s="50"/>
      <c r="K37" s="23" t="s">
        <v>255</v>
      </c>
    </row>
    <row r="38" spans="1:12" ht="20">
      <c r="A38" s="173"/>
      <c r="B38" s="48" t="s">
        <v>256</v>
      </c>
      <c r="C38" s="19"/>
      <c r="D38" s="23"/>
      <c r="E38" s="23" t="s">
        <v>257</v>
      </c>
      <c r="F38" s="23" t="s">
        <v>258</v>
      </c>
      <c r="G38" s="23" t="s">
        <v>249</v>
      </c>
      <c r="H38" s="21" t="s">
        <v>163</v>
      </c>
      <c r="I38" s="23"/>
      <c r="J38" s="50"/>
      <c r="K38" s="23" t="s">
        <v>259</v>
      </c>
    </row>
    <row r="39" spans="1:12" ht="36">
      <c r="A39" s="174"/>
      <c r="B39" s="48"/>
      <c r="C39" s="19"/>
      <c r="D39" s="23"/>
      <c r="E39" s="80" t="s">
        <v>260</v>
      </c>
      <c r="F39" s="80" t="s">
        <v>261</v>
      </c>
      <c r="G39" s="23" t="s">
        <v>249</v>
      </c>
      <c r="H39" s="81"/>
      <c r="I39" s="23"/>
      <c r="J39" s="50"/>
      <c r="K39" s="23" t="s">
        <v>262</v>
      </c>
      <c r="L39" s="77" t="s">
        <v>263</v>
      </c>
    </row>
  </sheetData>
  <mergeCells count="1">
    <mergeCell ref="A3:A39"/>
  </mergeCells>
  <phoneticPr fontId="2"/>
  <conditionalFormatting sqref="J3:J39">
    <cfRule type="expression" dxfId="15" priority="13">
      <formula>#REF!=1</formula>
    </cfRule>
    <cfRule type="expression" dxfId="14" priority="15">
      <formula>#REF!=1</formula>
    </cfRule>
  </conditionalFormatting>
  <dataValidations count="1">
    <dataValidation type="list" allowBlank="1" showInputMessage="1" showErrorMessage="1" sqref="H12:H39" xr:uid="{9EE0806E-5D31-4E31-8E5D-5FCFC8A311CF}">
      <formula1>"string,string[date],number,integer"</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BE4CE-9366-40E8-8DF1-D4B9CF138C00}">
  <dimension ref="A1:N88"/>
  <sheetViews>
    <sheetView topLeftCell="A37" zoomScale="75" zoomScaleNormal="75" workbookViewId="0">
      <selection activeCell="A46" sqref="A46"/>
    </sheetView>
  </sheetViews>
  <sheetFormatPr defaultColWidth="9" defaultRowHeight="18"/>
  <cols>
    <col min="1" max="1" width="24.33203125" style="3" customWidth="1"/>
    <col min="2" max="2" width="19" style="3" customWidth="1"/>
    <col min="3" max="3" width="50.83203125" style="3" customWidth="1"/>
    <col min="4" max="5" width="9" style="5" customWidth="1"/>
    <col min="6" max="7" width="37.83203125" style="3" customWidth="1"/>
    <col min="8" max="9" width="14.08203125" style="3" customWidth="1"/>
    <col min="10" max="10" width="14.08203125" style="3" hidden="1" customWidth="1"/>
    <col min="11" max="12" width="45.08203125" style="3" customWidth="1"/>
    <col min="13" max="14" width="9" style="3"/>
    <col min="15" max="15" width="3.08203125" style="3" customWidth="1"/>
    <col min="16" max="16384" width="9" style="3"/>
  </cols>
  <sheetData>
    <row r="1" spans="1:12">
      <c r="A1" s="140" t="s">
        <v>545</v>
      </c>
      <c r="C1" s="5"/>
    </row>
    <row r="3" spans="1:12" ht="18.5" thickBot="1">
      <c r="C3" s="3" t="s">
        <v>1</v>
      </c>
      <c r="F3" s="3" t="s">
        <v>2</v>
      </c>
      <c r="G3" s="3" t="s">
        <v>3</v>
      </c>
      <c r="H3" s="6" t="s">
        <v>4</v>
      </c>
      <c r="I3" s="3" t="s">
        <v>5</v>
      </c>
      <c r="J3" s="3" t="s">
        <v>6</v>
      </c>
      <c r="K3" s="6" t="s">
        <v>7</v>
      </c>
      <c r="L3" s="6"/>
    </row>
    <row r="4" spans="1:12" ht="90.5" thickBot="1">
      <c r="A4" s="175"/>
      <c r="B4" s="175"/>
      <c r="C4" s="96" t="s">
        <v>8</v>
      </c>
      <c r="D4" s="8" t="s">
        <v>9</v>
      </c>
      <c r="E4" s="8" t="s">
        <v>10</v>
      </c>
      <c r="F4" s="9" t="s">
        <v>11</v>
      </c>
      <c r="G4" s="9" t="s">
        <v>12</v>
      </c>
      <c r="H4" s="10" t="s">
        <v>13</v>
      </c>
      <c r="I4" s="11" t="s">
        <v>14</v>
      </c>
      <c r="J4" s="11" t="s">
        <v>15</v>
      </c>
      <c r="K4" s="12" t="s">
        <v>16</v>
      </c>
      <c r="L4" s="12" t="s">
        <v>139</v>
      </c>
    </row>
    <row r="5" spans="1:12">
      <c r="A5" s="176" t="s">
        <v>17</v>
      </c>
      <c r="B5" s="156"/>
      <c r="C5" s="89" t="str">
        <f t="shared" ref="C5:C10" si="0">SUBSTITUTE(LOWER(TRIM(G5))," ","_")</f>
        <v>instrument</v>
      </c>
      <c r="D5" s="14" t="s">
        <v>18</v>
      </c>
      <c r="E5" s="14"/>
      <c r="F5" s="13" t="s">
        <v>19</v>
      </c>
      <c r="G5" s="13" t="s">
        <v>20</v>
      </c>
      <c r="H5" s="13" t="s">
        <v>21</v>
      </c>
      <c r="I5" s="15"/>
      <c r="J5" s="15"/>
      <c r="K5" s="16"/>
      <c r="L5" s="16"/>
    </row>
    <row r="6" spans="1:12">
      <c r="A6" s="156"/>
      <c r="B6" s="156"/>
      <c r="C6" s="90" t="str">
        <f t="shared" si="0"/>
        <v/>
      </c>
      <c r="D6" s="18"/>
      <c r="E6" s="18"/>
      <c r="F6" s="17" t="s">
        <v>22</v>
      </c>
      <c r="G6" s="17" t="s">
        <v>23</v>
      </c>
      <c r="H6" s="17"/>
      <c r="I6" s="19"/>
      <c r="J6" s="19"/>
      <c r="K6" s="20" t="s">
        <v>280</v>
      </c>
      <c r="L6" s="24"/>
    </row>
    <row r="7" spans="1:12">
      <c r="A7" s="156"/>
      <c r="B7" s="156"/>
      <c r="C7" s="91" t="str">
        <f t="shared" si="0"/>
        <v>data_owner_(affiliation)</v>
      </c>
      <c r="D7" s="22" t="s">
        <v>18</v>
      </c>
      <c r="E7" s="22"/>
      <c r="F7" s="21" t="s">
        <v>25</v>
      </c>
      <c r="G7" s="21" t="s">
        <v>26</v>
      </c>
      <c r="H7" s="21" t="s">
        <v>27</v>
      </c>
      <c r="I7" s="23"/>
      <c r="J7" s="23"/>
      <c r="K7" s="24" t="s">
        <v>28</v>
      </c>
      <c r="L7" s="24"/>
    </row>
    <row r="8" spans="1:12">
      <c r="A8" s="156"/>
      <c r="B8" s="156"/>
      <c r="C8" s="91" t="str">
        <f t="shared" si="0"/>
        <v>data_name</v>
      </c>
      <c r="D8" s="22" t="s">
        <v>18</v>
      </c>
      <c r="E8" s="22"/>
      <c r="F8" s="21" t="s">
        <v>29</v>
      </c>
      <c r="G8" s="21" t="s">
        <v>30</v>
      </c>
      <c r="H8" s="21" t="s">
        <v>27</v>
      </c>
      <c r="I8" s="23"/>
      <c r="J8" s="23"/>
      <c r="K8" s="24" t="s">
        <v>284</v>
      </c>
      <c r="L8" s="24" t="s">
        <v>472</v>
      </c>
    </row>
    <row r="9" spans="1:12">
      <c r="A9" s="156"/>
      <c r="B9" s="156"/>
      <c r="C9" s="91" t="str">
        <f t="shared" si="0"/>
        <v>experiment_id</v>
      </c>
      <c r="D9" s="22"/>
      <c r="E9" s="22"/>
      <c r="F9" s="21" t="s">
        <v>32</v>
      </c>
      <c r="G9" s="21" t="s">
        <v>33</v>
      </c>
      <c r="H9" s="21" t="s">
        <v>21</v>
      </c>
      <c r="I9" s="23"/>
      <c r="J9" s="23"/>
      <c r="K9" s="24"/>
      <c r="L9" s="24"/>
    </row>
    <row r="10" spans="1:12" ht="18.5" thickBot="1">
      <c r="A10" s="156"/>
      <c r="B10" s="156"/>
      <c r="C10" s="92" t="str">
        <f t="shared" si="0"/>
        <v>description</v>
      </c>
      <c r="D10" s="26"/>
      <c r="E10" s="26"/>
      <c r="F10" s="25" t="s">
        <v>34</v>
      </c>
      <c r="G10" s="25" t="s">
        <v>35</v>
      </c>
      <c r="H10" s="25" t="s">
        <v>21</v>
      </c>
      <c r="I10" s="27"/>
      <c r="J10" s="27"/>
      <c r="K10" s="97"/>
      <c r="L10" s="28"/>
    </row>
    <row r="11" spans="1:12">
      <c r="A11" s="176" t="s">
        <v>37</v>
      </c>
      <c r="B11" s="176" t="s">
        <v>37</v>
      </c>
      <c r="C11" s="89" t="str">
        <f>SUBSTITUTE(LOWER(TRIM(G11))," ","_")</f>
        <v>sample_name_(local_id)</v>
      </c>
      <c r="D11" s="14" t="s">
        <v>38</v>
      </c>
      <c r="E11" s="14"/>
      <c r="F11" s="29" t="s">
        <v>39</v>
      </c>
      <c r="G11" s="13" t="s">
        <v>40</v>
      </c>
      <c r="H11" s="29" t="s">
        <v>27</v>
      </c>
      <c r="I11" s="15"/>
      <c r="J11" s="15"/>
      <c r="K11" s="99"/>
      <c r="L11" s="99" t="s">
        <v>473</v>
      </c>
    </row>
    <row r="12" spans="1:12">
      <c r="A12" s="176"/>
      <c r="B12" s="176"/>
      <c r="C12" s="91" t="str">
        <f>SUBSTITUTE(LOWER(TRIM(G12))," ","_")</f>
        <v>chemical_formula_etc.</v>
      </c>
      <c r="D12" s="31"/>
      <c r="E12" s="31"/>
      <c r="F12" s="32" t="s">
        <v>41</v>
      </c>
      <c r="G12" s="23" t="s">
        <v>42</v>
      </c>
      <c r="H12" s="32" t="s">
        <v>27</v>
      </c>
      <c r="I12" s="23"/>
      <c r="J12" s="23"/>
      <c r="K12" s="33"/>
      <c r="L12" s="33"/>
    </row>
    <row r="13" spans="1:12">
      <c r="A13" s="176"/>
      <c r="B13" s="176"/>
      <c r="C13" s="91" t="str">
        <f t="shared" ref="C13:C17" si="1">SUBSTITUTE(LOWER(TRIM(G13))," ","_")</f>
        <v>administrator_(affiliation)</v>
      </c>
      <c r="D13" s="31" t="s">
        <v>38</v>
      </c>
      <c r="E13" s="31"/>
      <c r="F13" s="23" t="s">
        <v>43</v>
      </c>
      <c r="G13" s="23" t="s">
        <v>44</v>
      </c>
      <c r="H13" s="32" t="s">
        <v>27</v>
      </c>
      <c r="I13" s="23"/>
      <c r="J13" s="23"/>
      <c r="K13" s="33"/>
      <c r="L13" s="33"/>
    </row>
    <row r="14" spans="1:12">
      <c r="A14" s="176"/>
      <c r="B14" s="176"/>
      <c r="C14" s="91" t="str">
        <f t="shared" si="1"/>
        <v>reference_url</v>
      </c>
      <c r="D14" s="31"/>
      <c r="E14" s="31"/>
      <c r="F14" s="32" t="s">
        <v>45</v>
      </c>
      <c r="G14" s="23" t="s">
        <v>46</v>
      </c>
      <c r="H14" s="32" t="s">
        <v>27</v>
      </c>
      <c r="I14" s="23"/>
      <c r="J14" s="23"/>
      <c r="K14" s="33"/>
      <c r="L14" s="33"/>
    </row>
    <row r="15" spans="1:12">
      <c r="A15" s="176"/>
      <c r="B15" s="176"/>
      <c r="C15" s="91" t="str">
        <f t="shared" si="1"/>
        <v>related_samples</v>
      </c>
      <c r="D15" s="31"/>
      <c r="E15" s="31"/>
      <c r="F15" s="32" t="s">
        <v>47</v>
      </c>
      <c r="G15" s="23" t="s">
        <v>48</v>
      </c>
      <c r="H15" s="32" t="s">
        <v>27</v>
      </c>
      <c r="I15" s="23"/>
      <c r="J15" s="23"/>
      <c r="K15" s="33"/>
      <c r="L15" s="33"/>
    </row>
    <row r="16" spans="1:12">
      <c r="A16" s="176"/>
      <c r="B16" s="176"/>
      <c r="C16" s="91" t="str">
        <f t="shared" si="1"/>
        <v>tags</v>
      </c>
      <c r="D16" s="31"/>
      <c r="E16" s="31"/>
      <c r="F16" s="32" t="s">
        <v>49</v>
      </c>
      <c r="G16" s="23" t="s">
        <v>50</v>
      </c>
      <c r="H16" s="32" t="s">
        <v>27</v>
      </c>
      <c r="I16" s="23"/>
      <c r="J16" s="23"/>
      <c r="K16" s="33"/>
      <c r="L16" s="33"/>
    </row>
    <row r="17" spans="1:12">
      <c r="A17" s="176"/>
      <c r="B17" s="176"/>
      <c r="C17" s="91" t="str">
        <f t="shared" si="1"/>
        <v>description</v>
      </c>
      <c r="D17" s="31"/>
      <c r="E17" s="31"/>
      <c r="F17" s="32" t="s">
        <v>51</v>
      </c>
      <c r="G17" s="23" t="s">
        <v>52</v>
      </c>
      <c r="H17" s="32" t="s">
        <v>27</v>
      </c>
      <c r="I17" s="23"/>
      <c r="J17" s="23"/>
      <c r="K17" s="33"/>
      <c r="L17" s="33"/>
    </row>
    <row r="18" spans="1:12">
      <c r="A18" s="176"/>
      <c r="B18" s="176"/>
      <c r="C18" s="91" t="str">
        <f t="shared" ref="C18:C25" si="2">"sample.general."&amp;SUBSTITUTE(LOWER(TRIM(G18))," ","-")</f>
        <v>sample.general.sample-type</v>
      </c>
      <c r="D18" s="31"/>
      <c r="E18" s="31"/>
      <c r="F18" s="32" t="s">
        <v>466</v>
      </c>
      <c r="G18" s="23" t="s">
        <v>467</v>
      </c>
      <c r="H18" s="32" t="s">
        <v>27</v>
      </c>
      <c r="I18" s="23"/>
      <c r="J18" s="23"/>
      <c r="K18" s="33"/>
      <c r="L18" s="33"/>
    </row>
    <row r="19" spans="1:12">
      <c r="A19" s="176"/>
      <c r="B19" s="176"/>
      <c r="C19" s="91" t="str">
        <f t="shared" si="2"/>
        <v>sample.general.general-name</v>
      </c>
      <c r="D19" s="31"/>
      <c r="E19" s="31"/>
      <c r="F19" s="32" t="s">
        <v>53</v>
      </c>
      <c r="G19" s="23" t="s">
        <v>54</v>
      </c>
      <c r="H19" s="32" t="s">
        <v>27</v>
      </c>
      <c r="I19" s="23"/>
      <c r="J19" s="23"/>
      <c r="K19" s="33"/>
      <c r="L19" s="33"/>
    </row>
    <row r="20" spans="1:12">
      <c r="A20" s="176"/>
      <c r="B20" s="176"/>
      <c r="C20" s="91" t="str">
        <f t="shared" si="2"/>
        <v>sample.general.cas-number</v>
      </c>
      <c r="D20" s="31"/>
      <c r="E20" s="31"/>
      <c r="F20" s="32" t="s">
        <v>55</v>
      </c>
      <c r="G20" s="23" t="s">
        <v>56</v>
      </c>
      <c r="H20" s="32" t="s">
        <v>27</v>
      </c>
      <c r="I20" s="23"/>
      <c r="J20" s="23"/>
      <c r="K20" s="33"/>
      <c r="L20" s="33"/>
    </row>
    <row r="21" spans="1:12">
      <c r="A21" s="176"/>
      <c r="B21" s="176"/>
      <c r="C21" s="91" t="str">
        <f t="shared" si="2"/>
        <v>sample.general.crystal-structure</v>
      </c>
      <c r="D21" s="31"/>
      <c r="E21" s="31"/>
      <c r="F21" s="32" t="s">
        <v>57</v>
      </c>
      <c r="G21" s="23" t="s">
        <v>58</v>
      </c>
      <c r="H21" s="32" t="s">
        <v>27</v>
      </c>
      <c r="I21" s="23"/>
      <c r="J21" s="23"/>
      <c r="K21" s="33"/>
      <c r="L21" s="33"/>
    </row>
    <row r="22" spans="1:12">
      <c r="A22" s="176"/>
      <c r="B22" s="176"/>
      <c r="C22" s="91" t="str">
        <f t="shared" si="2"/>
        <v>sample.general.sample-shape</v>
      </c>
      <c r="D22" s="31"/>
      <c r="E22" s="31"/>
      <c r="F22" s="32" t="s">
        <v>59</v>
      </c>
      <c r="G22" s="23" t="s">
        <v>60</v>
      </c>
      <c r="H22" s="32" t="s">
        <v>27</v>
      </c>
      <c r="I22" s="23"/>
      <c r="J22" s="23"/>
      <c r="K22" s="33"/>
      <c r="L22" s="33"/>
    </row>
    <row r="23" spans="1:12">
      <c r="A23" s="176"/>
      <c r="B23" s="176"/>
      <c r="C23" s="91" t="str">
        <f t="shared" si="2"/>
        <v>sample.general.purchase-date</v>
      </c>
      <c r="D23" s="31"/>
      <c r="E23" s="31"/>
      <c r="F23" s="32" t="s">
        <v>61</v>
      </c>
      <c r="G23" s="23" t="s">
        <v>62</v>
      </c>
      <c r="H23" s="32" t="s">
        <v>27</v>
      </c>
      <c r="I23" s="23"/>
      <c r="J23" s="23"/>
      <c r="K23" s="33"/>
      <c r="L23" s="33"/>
    </row>
    <row r="24" spans="1:12">
      <c r="A24" s="176"/>
      <c r="B24" s="176"/>
      <c r="C24" s="91" t="str">
        <f t="shared" si="2"/>
        <v>sample.general.supplier</v>
      </c>
      <c r="D24" s="31"/>
      <c r="E24" s="31"/>
      <c r="F24" s="32" t="s">
        <v>63</v>
      </c>
      <c r="G24" s="23" t="s">
        <v>64</v>
      </c>
      <c r="H24" s="32" t="s">
        <v>27</v>
      </c>
      <c r="I24" s="23"/>
      <c r="J24" s="23"/>
      <c r="K24" s="33"/>
      <c r="L24" s="33"/>
    </row>
    <row r="25" spans="1:12" ht="18.5" thickBot="1">
      <c r="A25" s="176"/>
      <c r="B25" s="176"/>
      <c r="C25" s="25" t="str">
        <f t="shared" si="2"/>
        <v>sample.general.lot-number-or-product-number-etc</v>
      </c>
      <c r="D25" s="34"/>
      <c r="E25" s="34"/>
      <c r="F25" s="35" t="s">
        <v>65</v>
      </c>
      <c r="G25" s="35" t="s">
        <v>66</v>
      </c>
      <c r="H25" s="35" t="s">
        <v>27</v>
      </c>
      <c r="I25" s="35"/>
      <c r="J25" s="27"/>
      <c r="K25" s="36"/>
      <c r="L25" s="36"/>
    </row>
    <row r="26" spans="1:12">
      <c r="A26" s="176" t="s">
        <v>67</v>
      </c>
      <c r="B26" s="156" t="s">
        <v>281</v>
      </c>
      <c r="C26" s="13" t="s">
        <v>368</v>
      </c>
      <c r="D26" s="22"/>
      <c r="E26" s="22"/>
      <c r="F26" s="21" t="s">
        <v>363</v>
      </c>
      <c r="G26" s="21" t="s">
        <v>364</v>
      </c>
      <c r="H26" s="29" t="s">
        <v>200</v>
      </c>
      <c r="I26" s="21" t="s">
        <v>367</v>
      </c>
      <c r="J26" s="1"/>
      <c r="K26" s="24"/>
      <c r="L26" s="24"/>
    </row>
    <row r="27" spans="1:12">
      <c r="A27" s="176"/>
      <c r="B27" s="156"/>
      <c r="C27" s="91" t="s">
        <v>369</v>
      </c>
      <c r="D27" s="31"/>
      <c r="E27" s="31"/>
      <c r="F27" s="21" t="s">
        <v>365</v>
      </c>
      <c r="G27" s="21" t="s">
        <v>366</v>
      </c>
      <c r="H27" s="32" t="s">
        <v>21</v>
      </c>
      <c r="I27" s="21"/>
      <c r="J27" s="23"/>
      <c r="K27" s="33"/>
      <c r="L27" s="33"/>
    </row>
    <row r="28" spans="1:12" ht="18.75" customHeight="1">
      <c r="A28" s="176"/>
      <c r="B28" s="156"/>
      <c r="C28" s="93" t="s">
        <v>78</v>
      </c>
      <c r="D28" s="31"/>
      <c r="E28" s="31"/>
      <c r="F28" s="32" t="s">
        <v>79</v>
      </c>
      <c r="G28" s="32" t="s">
        <v>78</v>
      </c>
      <c r="H28" s="21" t="s">
        <v>21</v>
      </c>
      <c r="I28" s="23"/>
      <c r="J28" s="23"/>
      <c r="K28" s="33"/>
      <c r="L28" s="33"/>
    </row>
    <row r="29" spans="1:12" ht="18.75" customHeight="1">
      <c r="A29" s="176"/>
      <c r="B29" s="156"/>
      <c r="C29" s="93" t="s">
        <v>80</v>
      </c>
      <c r="D29" s="31"/>
      <c r="E29" s="31"/>
      <c r="F29" s="32" t="s">
        <v>272</v>
      </c>
      <c r="G29" s="32" t="s">
        <v>273</v>
      </c>
      <c r="H29" s="21" t="s">
        <v>21</v>
      </c>
      <c r="I29" s="23"/>
      <c r="J29" s="23"/>
      <c r="K29" s="33"/>
      <c r="L29" s="33"/>
    </row>
    <row r="30" spans="1:12">
      <c r="A30" s="176"/>
      <c r="B30" s="156"/>
      <c r="C30" s="93" t="s">
        <v>82</v>
      </c>
      <c r="D30" s="22"/>
      <c r="E30" s="22"/>
      <c r="F30" s="32" t="s">
        <v>274</v>
      </c>
      <c r="G30" s="32" t="s">
        <v>275</v>
      </c>
      <c r="H30" s="21" t="s">
        <v>21</v>
      </c>
      <c r="I30" s="1"/>
      <c r="J30" s="1"/>
      <c r="K30" s="24"/>
      <c r="L30" s="24"/>
    </row>
    <row r="31" spans="1:12">
      <c r="A31" s="176"/>
      <c r="B31" s="156"/>
      <c r="C31" s="93" t="s">
        <v>84</v>
      </c>
      <c r="D31" s="31"/>
      <c r="E31" s="31"/>
      <c r="F31" s="32" t="s">
        <v>85</v>
      </c>
      <c r="G31" s="32" t="s">
        <v>276</v>
      </c>
      <c r="H31" s="21" t="s">
        <v>21</v>
      </c>
      <c r="I31" s="23"/>
      <c r="J31" s="23"/>
      <c r="K31" s="33"/>
      <c r="L31" s="33"/>
    </row>
    <row r="32" spans="1:12" ht="18.75" customHeight="1">
      <c r="A32" s="176"/>
      <c r="B32" s="156"/>
      <c r="C32" s="93" t="s">
        <v>86</v>
      </c>
      <c r="D32" s="22"/>
      <c r="E32" s="22"/>
      <c r="F32" s="32" t="s">
        <v>87</v>
      </c>
      <c r="G32" s="32" t="s">
        <v>277</v>
      </c>
      <c r="H32" s="21" t="s">
        <v>21</v>
      </c>
      <c r="I32" s="23"/>
      <c r="J32" s="23"/>
      <c r="K32" s="33"/>
      <c r="L32" s="33"/>
    </row>
    <row r="33" spans="1:14">
      <c r="A33" s="176"/>
      <c r="B33" s="156" t="s">
        <v>98</v>
      </c>
      <c r="C33" s="91" t="str">
        <f>"common_"&amp;SUBSTITUTE(LOWER(TRIM(G33))," ","_")</f>
        <v>common_data_type</v>
      </c>
      <c r="D33" s="22"/>
      <c r="E33" s="22"/>
      <c r="F33" s="21" t="s">
        <v>99</v>
      </c>
      <c r="G33" s="21" t="s">
        <v>100</v>
      </c>
      <c r="H33" s="21" t="s">
        <v>21</v>
      </c>
      <c r="I33" s="23"/>
      <c r="J33" s="23"/>
      <c r="K33" s="24" t="s">
        <v>360</v>
      </c>
      <c r="L33" s="24"/>
      <c r="N33" s="37"/>
    </row>
    <row r="34" spans="1:14">
      <c r="A34" s="176"/>
      <c r="B34" s="156"/>
      <c r="C34" s="91" t="str">
        <f t="shared" ref="C34:C36" si="3">"common_"&amp;SUBSTITUTE(LOWER(TRIM(G34))," ","_")</f>
        <v>common_data_origin</v>
      </c>
      <c r="D34" s="22"/>
      <c r="E34" s="22"/>
      <c r="F34" s="21" t="s">
        <v>102</v>
      </c>
      <c r="G34" s="21" t="s">
        <v>103</v>
      </c>
      <c r="H34" s="21" t="s">
        <v>21</v>
      </c>
      <c r="I34" s="23"/>
      <c r="J34" s="23"/>
      <c r="K34" s="24" t="s">
        <v>278</v>
      </c>
      <c r="L34" s="24"/>
      <c r="N34" s="37"/>
    </row>
    <row r="35" spans="1:14">
      <c r="A35" s="176"/>
      <c r="B35" s="156"/>
      <c r="C35" s="91" t="str">
        <f t="shared" si="3"/>
        <v>common_technical_category</v>
      </c>
      <c r="D35" s="22"/>
      <c r="E35" s="22"/>
      <c r="F35" s="21" t="s">
        <v>105</v>
      </c>
      <c r="G35" s="21" t="s">
        <v>106</v>
      </c>
      <c r="H35" s="21" t="s">
        <v>21</v>
      </c>
      <c r="I35" s="23"/>
      <c r="J35" s="23"/>
      <c r="K35" s="24" t="s">
        <v>279</v>
      </c>
      <c r="L35" s="24"/>
      <c r="N35" s="37"/>
    </row>
    <row r="36" spans="1:14">
      <c r="A36" s="176"/>
      <c r="B36" s="156"/>
      <c r="C36" s="91" t="str">
        <f t="shared" si="3"/>
        <v>common_reference</v>
      </c>
      <c r="D36" s="22"/>
      <c r="E36" s="22"/>
      <c r="F36" s="21" t="s">
        <v>108</v>
      </c>
      <c r="G36" s="21" t="s">
        <v>109</v>
      </c>
      <c r="H36" s="21" t="s">
        <v>21</v>
      </c>
      <c r="I36" s="23"/>
      <c r="J36" s="23"/>
      <c r="K36" s="24"/>
      <c r="L36" s="24"/>
      <c r="N36" s="37"/>
    </row>
    <row r="37" spans="1:14">
      <c r="A37" s="176"/>
      <c r="B37" s="156" t="s">
        <v>110</v>
      </c>
      <c r="C37" s="91" t="str">
        <f>"measurement_"&amp;SUBSTITUTE(LOWER(TRIM(G37))," ","_")</f>
        <v>measurement_method_category</v>
      </c>
      <c r="D37" s="22"/>
      <c r="E37" s="22"/>
      <c r="F37" s="21" t="s">
        <v>111</v>
      </c>
      <c r="G37" s="21" t="s">
        <v>112</v>
      </c>
      <c r="H37" s="21" t="s">
        <v>21</v>
      </c>
      <c r="I37" s="23"/>
      <c r="J37" s="23"/>
      <c r="K37" s="118" t="s">
        <v>361</v>
      </c>
      <c r="L37" s="119"/>
      <c r="N37" s="37"/>
    </row>
    <row r="38" spans="1:14">
      <c r="A38" s="176"/>
      <c r="B38" s="156"/>
      <c r="C38" s="94" t="str">
        <f t="shared" ref="C38:C44" si="4">"measurement_"&amp;SUBSTITUTE(LOWER(TRIM(G38))," ","_")</f>
        <v>measurement_method_sub-category</v>
      </c>
      <c r="D38" s="40"/>
      <c r="E38" s="40"/>
      <c r="F38" s="39" t="s">
        <v>114</v>
      </c>
      <c r="G38" s="39" t="s">
        <v>115</v>
      </c>
      <c r="H38" s="21" t="s">
        <v>21</v>
      </c>
      <c r="I38" s="38"/>
      <c r="J38" s="38"/>
      <c r="K38" s="118" t="s">
        <v>362</v>
      </c>
      <c r="L38" s="119"/>
      <c r="N38" s="37"/>
    </row>
    <row r="39" spans="1:14">
      <c r="A39" s="176"/>
      <c r="B39" s="156"/>
      <c r="C39" s="94" t="str">
        <f t="shared" si="4"/>
        <v>measurement_analysis_field</v>
      </c>
      <c r="D39" s="40"/>
      <c r="E39" s="40"/>
      <c r="F39" s="39" t="s">
        <v>118</v>
      </c>
      <c r="G39" s="39" t="s">
        <v>119</v>
      </c>
      <c r="H39" s="21" t="s">
        <v>21</v>
      </c>
      <c r="I39" s="38"/>
      <c r="J39" s="38"/>
      <c r="K39" s="24"/>
      <c r="L39" s="24"/>
      <c r="N39" s="37"/>
    </row>
    <row r="40" spans="1:14">
      <c r="A40" s="176"/>
      <c r="B40" s="156"/>
      <c r="C40" s="94" t="str">
        <f t="shared" si="4"/>
        <v>measurement_measurement_environment</v>
      </c>
      <c r="D40" s="40"/>
      <c r="E40" s="40"/>
      <c r="F40" s="39" t="s">
        <v>121</v>
      </c>
      <c r="G40" s="39" t="s">
        <v>122</v>
      </c>
      <c r="H40" s="21" t="s">
        <v>21</v>
      </c>
      <c r="I40" s="38"/>
      <c r="J40" s="38"/>
      <c r="K40" s="41"/>
      <c r="L40" s="41"/>
      <c r="N40" s="37"/>
    </row>
    <row r="41" spans="1:14">
      <c r="A41" s="176"/>
      <c r="B41" s="156"/>
      <c r="C41" s="94" t="str">
        <f t="shared" si="4"/>
        <v>measurement_energy_level_transition_structure_etc._of_interest</v>
      </c>
      <c r="D41" s="40"/>
      <c r="E41" s="40"/>
      <c r="F41" s="39" t="s">
        <v>123</v>
      </c>
      <c r="G41" s="39" t="s">
        <v>124</v>
      </c>
      <c r="H41" s="21" t="s">
        <v>21</v>
      </c>
      <c r="I41" s="38"/>
      <c r="J41" s="38"/>
      <c r="K41" s="41"/>
      <c r="L41" s="41"/>
      <c r="N41" s="37"/>
    </row>
    <row r="42" spans="1:14" ht="90">
      <c r="A42" s="176"/>
      <c r="B42" s="156"/>
      <c r="C42" s="134" t="str">
        <f t="shared" si="4"/>
        <v>measurement_measured_date</v>
      </c>
      <c r="D42" s="135"/>
      <c r="E42" s="135"/>
      <c r="F42" s="136" t="s">
        <v>126</v>
      </c>
      <c r="G42" s="136" t="s">
        <v>127</v>
      </c>
      <c r="H42" s="136" t="s">
        <v>128</v>
      </c>
      <c r="I42" s="137"/>
      <c r="J42" s="137"/>
      <c r="K42" s="138" t="s">
        <v>474</v>
      </c>
      <c r="L42" s="133" t="s">
        <v>495</v>
      </c>
      <c r="N42" s="37"/>
    </row>
    <row r="43" spans="1:14">
      <c r="A43" s="176"/>
      <c r="B43" s="156"/>
      <c r="C43" s="94" t="str">
        <f t="shared" si="4"/>
        <v>measurement_standardized_procedure</v>
      </c>
      <c r="D43" s="40"/>
      <c r="E43" s="40"/>
      <c r="F43" s="39" t="s">
        <v>129</v>
      </c>
      <c r="G43" s="39" t="s">
        <v>130</v>
      </c>
      <c r="H43" s="39" t="s">
        <v>21</v>
      </c>
      <c r="I43" s="38"/>
      <c r="J43" s="38"/>
      <c r="K43" s="41"/>
      <c r="L43" s="41"/>
      <c r="N43" s="37"/>
    </row>
    <row r="44" spans="1:14" ht="18.5" thickBot="1">
      <c r="A44" s="176"/>
      <c r="B44" s="156"/>
      <c r="C44" s="92" t="str">
        <f t="shared" si="4"/>
        <v>measurement_instrumentation_site</v>
      </c>
      <c r="D44" s="26"/>
      <c r="E44" s="26"/>
      <c r="F44" s="25" t="s">
        <v>131</v>
      </c>
      <c r="G44" s="25" t="s">
        <v>132</v>
      </c>
      <c r="H44" s="25" t="s">
        <v>21</v>
      </c>
      <c r="I44" s="27"/>
      <c r="J44" s="27"/>
      <c r="K44" s="2"/>
      <c r="L44" s="2"/>
      <c r="N44" s="37"/>
    </row>
    <row r="45" spans="1:14" ht="20">
      <c r="G45" s="42"/>
    </row>
    <row r="46" spans="1:14">
      <c r="A46" s="140" t="s">
        <v>596</v>
      </c>
    </row>
    <row r="48" spans="1:14" ht="18.5" thickBot="1">
      <c r="C48" s="3" t="s">
        <v>1</v>
      </c>
      <c r="F48" s="3" t="s">
        <v>2</v>
      </c>
      <c r="G48" s="3" t="s">
        <v>3</v>
      </c>
      <c r="H48" s="6" t="s">
        <v>4</v>
      </c>
      <c r="I48" s="3" t="s">
        <v>5</v>
      </c>
      <c r="J48" s="3" t="s">
        <v>6</v>
      </c>
      <c r="K48" s="6" t="s">
        <v>7</v>
      </c>
      <c r="L48" s="6"/>
    </row>
    <row r="49" spans="1:12" ht="90.5" thickBot="1">
      <c r="A49" s="175"/>
      <c r="B49" s="175"/>
      <c r="C49" s="96" t="s">
        <v>8</v>
      </c>
      <c r="D49" s="8" t="s">
        <v>9</v>
      </c>
      <c r="E49" s="8" t="s">
        <v>10</v>
      </c>
      <c r="F49" s="9" t="s">
        <v>11</v>
      </c>
      <c r="G49" s="9" t="s">
        <v>12</v>
      </c>
      <c r="H49" s="10" t="s">
        <v>13</v>
      </c>
      <c r="I49" s="11" t="s">
        <v>14</v>
      </c>
      <c r="J49" s="11" t="s">
        <v>15</v>
      </c>
      <c r="K49" s="12" t="s">
        <v>16</v>
      </c>
      <c r="L49" s="12" t="s">
        <v>139</v>
      </c>
    </row>
    <row r="50" spans="1:12">
      <c r="A50" s="176" t="s">
        <v>17</v>
      </c>
      <c r="B50" s="156"/>
      <c r="C50" s="89" t="str">
        <f t="shared" ref="C50:C55" si="5">SUBSTITUTE(LOWER(TRIM(G50))," ","_")</f>
        <v>instrument</v>
      </c>
      <c r="D50" s="14" t="s">
        <v>18</v>
      </c>
      <c r="E50" s="14"/>
      <c r="F50" s="13" t="s">
        <v>19</v>
      </c>
      <c r="G50" s="13" t="s">
        <v>20</v>
      </c>
      <c r="H50" s="13" t="s">
        <v>21</v>
      </c>
      <c r="I50" s="15"/>
      <c r="J50" s="15"/>
      <c r="K50" s="16"/>
      <c r="L50" s="16"/>
    </row>
    <row r="51" spans="1:12">
      <c r="A51" s="156"/>
      <c r="B51" s="156"/>
      <c r="C51" s="90" t="str">
        <f t="shared" si="5"/>
        <v/>
      </c>
      <c r="D51" s="18"/>
      <c r="E51" s="18"/>
      <c r="F51" s="17" t="s">
        <v>22</v>
      </c>
      <c r="G51" s="17" t="s">
        <v>23</v>
      </c>
      <c r="H51" s="17"/>
      <c r="I51" s="19"/>
      <c r="J51" s="19"/>
      <c r="K51" s="20" t="s">
        <v>280</v>
      </c>
      <c r="L51" s="24"/>
    </row>
    <row r="52" spans="1:12">
      <c r="A52" s="156"/>
      <c r="B52" s="156"/>
      <c r="C52" s="91" t="str">
        <f t="shared" si="5"/>
        <v>data_owner_(affiliation)</v>
      </c>
      <c r="D52" s="22" t="s">
        <v>18</v>
      </c>
      <c r="E52" s="22"/>
      <c r="F52" s="21" t="s">
        <v>25</v>
      </c>
      <c r="G52" s="21" t="s">
        <v>26</v>
      </c>
      <c r="H52" s="21" t="s">
        <v>27</v>
      </c>
      <c r="I52" s="23"/>
      <c r="J52" s="23"/>
      <c r="K52" s="24" t="s">
        <v>28</v>
      </c>
      <c r="L52" s="24"/>
    </row>
    <row r="53" spans="1:12">
      <c r="A53" s="156"/>
      <c r="B53" s="156"/>
      <c r="C53" s="91" t="str">
        <f t="shared" si="5"/>
        <v>data_name</v>
      </c>
      <c r="D53" s="22" t="s">
        <v>18</v>
      </c>
      <c r="E53" s="22"/>
      <c r="F53" s="21" t="s">
        <v>29</v>
      </c>
      <c r="G53" s="21" t="s">
        <v>30</v>
      </c>
      <c r="H53" s="21" t="s">
        <v>27</v>
      </c>
      <c r="I53" s="23"/>
      <c r="J53" s="23"/>
      <c r="K53" s="24" t="s">
        <v>284</v>
      </c>
      <c r="L53" s="24" t="s">
        <v>472</v>
      </c>
    </row>
    <row r="54" spans="1:12">
      <c r="A54" s="156"/>
      <c r="B54" s="156"/>
      <c r="C54" s="91" t="str">
        <f t="shared" si="5"/>
        <v>experiment_id</v>
      </c>
      <c r="D54" s="22"/>
      <c r="E54" s="22"/>
      <c r="F54" s="21" t="s">
        <v>32</v>
      </c>
      <c r="G54" s="21" t="s">
        <v>33</v>
      </c>
      <c r="H54" s="21" t="s">
        <v>21</v>
      </c>
      <c r="I54" s="23"/>
      <c r="J54" s="23"/>
      <c r="K54" s="24"/>
      <c r="L54" s="24"/>
    </row>
    <row r="55" spans="1:12" ht="18.5" thickBot="1">
      <c r="A55" s="156"/>
      <c r="B55" s="156"/>
      <c r="C55" s="92" t="str">
        <f t="shared" si="5"/>
        <v>description</v>
      </c>
      <c r="D55" s="26"/>
      <c r="E55" s="26"/>
      <c r="F55" s="25" t="s">
        <v>34</v>
      </c>
      <c r="G55" s="25" t="s">
        <v>35</v>
      </c>
      <c r="H55" s="25" t="s">
        <v>21</v>
      </c>
      <c r="I55" s="27"/>
      <c r="J55" s="27"/>
      <c r="K55" s="97"/>
      <c r="L55" s="28"/>
    </row>
    <row r="56" spans="1:12">
      <c r="A56" s="176" t="s">
        <v>37</v>
      </c>
      <c r="B56" s="176" t="s">
        <v>37</v>
      </c>
      <c r="C56" s="89" t="str">
        <f>SUBSTITUTE(LOWER(TRIM(G56))," ","_")</f>
        <v>sample_name_(local_id)</v>
      </c>
      <c r="D56" s="14" t="s">
        <v>38</v>
      </c>
      <c r="E56" s="14"/>
      <c r="F56" s="29" t="s">
        <v>39</v>
      </c>
      <c r="G56" s="13" t="s">
        <v>40</v>
      </c>
      <c r="H56" s="29" t="s">
        <v>27</v>
      </c>
      <c r="I56" s="15"/>
      <c r="J56" s="15"/>
      <c r="K56" s="99"/>
      <c r="L56" s="99" t="s">
        <v>473</v>
      </c>
    </row>
    <row r="57" spans="1:12">
      <c r="A57" s="176"/>
      <c r="B57" s="176"/>
      <c r="C57" s="91" t="str">
        <f>SUBSTITUTE(LOWER(TRIM(G57))," ","_")</f>
        <v>chemical_formula_etc.</v>
      </c>
      <c r="D57" s="31"/>
      <c r="E57" s="31"/>
      <c r="F57" s="32" t="s">
        <v>41</v>
      </c>
      <c r="G57" s="23" t="s">
        <v>42</v>
      </c>
      <c r="H57" s="32" t="s">
        <v>27</v>
      </c>
      <c r="I57" s="23"/>
      <c r="J57" s="23"/>
      <c r="K57" s="33"/>
      <c r="L57" s="33"/>
    </row>
    <row r="58" spans="1:12">
      <c r="A58" s="176"/>
      <c r="B58" s="176"/>
      <c r="C58" s="91" t="str">
        <f t="shared" ref="C58:C62" si="6">SUBSTITUTE(LOWER(TRIM(G58))," ","_")</f>
        <v>administrator_(affiliation)</v>
      </c>
      <c r="D58" s="31" t="s">
        <v>38</v>
      </c>
      <c r="E58" s="31"/>
      <c r="F58" s="23" t="s">
        <v>43</v>
      </c>
      <c r="G58" s="23" t="s">
        <v>44</v>
      </c>
      <c r="H58" s="32" t="s">
        <v>27</v>
      </c>
      <c r="I58" s="23"/>
      <c r="J58" s="23"/>
      <c r="K58" s="33"/>
      <c r="L58" s="33"/>
    </row>
    <row r="59" spans="1:12">
      <c r="A59" s="176"/>
      <c r="B59" s="176"/>
      <c r="C59" s="91" t="str">
        <f t="shared" si="6"/>
        <v>reference_url</v>
      </c>
      <c r="D59" s="31"/>
      <c r="E59" s="31"/>
      <c r="F59" s="32" t="s">
        <v>45</v>
      </c>
      <c r="G59" s="23" t="s">
        <v>46</v>
      </c>
      <c r="H59" s="32" t="s">
        <v>27</v>
      </c>
      <c r="I59" s="23"/>
      <c r="J59" s="23"/>
      <c r="K59" s="33"/>
      <c r="L59" s="33"/>
    </row>
    <row r="60" spans="1:12">
      <c r="A60" s="176"/>
      <c r="B60" s="176"/>
      <c r="C60" s="91" t="str">
        <f t="shared" si="6"/>
        <v>related_samples</v>
      </c>
      <c r="D60" s="31"/>
      <c r="E60" s="31"/>
      <c r="F60" s="32" t="s">
        <v>47</v>
      </c>
      <c r="G60" s="23" t="s">
        <v>48</v>
      </c>
      <c r="H60" s="32" t="s">
        <v>27</v>
      </c>
      <c r="I60" s="23"/>
      <c r="J60" s="23"/>
      <c r="K60" s="33"/>
      <c r="L60" s="33"/>
    </row>
    <row r="61" spans="1:12">
      <c r="A61" s="176"/>
      <c r="B61" s="176"/>
      <c r="C61" s="91" t="str">
        <f t="shared" si="6"/>
        <v>tags</v>
      </c>
      <c r="D61" s="31"/>
      <c r="E61" s="31"/>
      <c r="F61" s="32" t="s">
        <v>49</v>
      </c>
      <c r="G61" s="23" t="s">
        <v>50</v>
      </c>
      <c r="H61" s="32" t="s">
        <v>27</v>
      </c>
      <c r="I61" s="23"/>
      <c r="J61" s="23"/>
      <c r="K61" s="33"/>
      <c r="L61" s="33"/>
    </row>
    <row r="62" spans="1:12">
      <c r="A62" s="176"/>
      <c r="B62" s="176"/>
      <c r="C62" s="91" t="str">
        <f t="shared" si="6"/>
        <v>description</v>
      </c>
      <c r="D62" s="31"/>
      <c r="E62" s="31"/>
      <c r="F62" s="32" t="s">
        <v>51</v>
      </c>
      <c r="G62" s="23" t="s">
        <v>52</v>
      </c>
      <c r="H62" s="32" t="s">
        <v>27</v>
      </c>
      <c r="I62" s="23"/>
      <c r="J62" s="23"/>
      <c r="K62" s="33"/>
      <c r="L62" s="33"/>
    </row>
    <row r="63" spans="1:12">
      <c r="A63" s="176"/>
      <c r="B63" s="176"/>
      <c r="C63" s="91" t="str">
        <f t="shared" ref="C63:C70" si="7">"sample.general."&amp;SUBSTITUTE(LOWER(TRIM(G63))," ","-")</f>
        <v>sample.general.sample-type</v>
      </c>
      <c r="D63" s="31"/>
      <c r="E63" s="31"/>
      <c r="F63" s="32" t="s">
        <v>466</v>
      </c>
      <c r="G63" s="23" t="s">
        <v>467</v>
      </c>
      <c r="H63" s="32" t="s">
        <v>27</v>
      </c>
      <c r="I63" s="23"/>
      <c r="J63" s="23"/>
      <c r="K63" s="33"/>
      <c r="L63" s="33"/>
    </row>
    <row r="64" spans="1:12">
      <c r="A64" s="176"/>
      <c r="B64" s="176"/>
      <c r="C64" s="91" t="str">
        <f t="shared" si="7"/>
        <v>sample.general.general-name</v>
      </c>
      <c r="D64" s="31"/>
      <c r="E64" s="31"/>
      <c r="F64" s="32" t="s">
        <v>53</v>
      </c>
      <c r="G64" s="23" t="s">
        <v>54</v>
      </c>
      <c r="H64" s="32" t="s">
        <v>27</v>
      </c>
      <c r="I64" s="23"/>
      <c r="J64" s="23"/>
      <c r="K64" s="33"/>
      <c r="L64" s="33"/>
    </row>
    <row r="65" spans="1:12">
      <c r="A65" s="176"/>
      <c r="B65" s="176"/>
      <c r="C65" s="91" t="str">
        <f t="shared" si="7"/>
        <v>sample.general.cas-number</v>
      </c>
      <c r="D65" s="31"/>
      <c r="E65" s="31"/>
      <c r="F65" s="32" t="s">
        <v>55</v>
      </c>
      <c r="G65" s="23" t="s">
        <v>56</v>
      </c>
      <c r="H65" s="32" t="s">
        <v>27</v>
      </c>
      <c r="I65" s="23"/>
      <c r="J65" s="23"/>
      <c r="K65" s="33"/>
      <c r="L65" s="33"/>
    </row>
    <row r="66" spans="1:12">
      <c r="A66" s="176"/>
      <c r="B66" s="176"/>
      <c r="C66" s="91" t="str">
        <f t="shared" si="7"/>
        <v>sample.general.crystal-structure</v>
      </c>
      <c r="D66" s="31"/>
      <c r="E66" s="31"/>
      <c r="F66" s="32" t="s">
        <v>57</v>
      </c>
      <c r="G66" s="23" t="s">
        <v>58</v>
      </c>
      <c r="H66" s="32" t="s">
        <v>27</v>
      </c>
      <c r="I66" s="23"/>
      <c r="J66" s="23"/>
      <c r="K66" s="33"/>
      <c r="L66" s="33"/>
    </row>
    <row r="67" spans="1:12">
      <c r="A67" s="176"/>
      <c r="B67" s="176"/>
      <c r="C67" s="91" t="str">
        <f t="shared" si="7"/>
        <v>sample.general.sample-shape</v>
      </c>
      <c r="D67" s="31"/>
      <c r="E67" s="31"/>
      <c r="F67" s="32" t="s">
        <v>59</v>
      </c>
      <c r="G67" s="23" t="s">
        <v>60</v>
      </c>
      <c r="H67" s="32" t="s">
        <v>27</v>
      </c>
      <c r="I67" s="23"/>
      <c r="J67" s="23"/>
      <c r="K67" s="33"/>
      <c r="L67" s="33"/>
    </row>
    <row r="68" spans="1:12">
      <c r="A68" s="176"/>
      <c r="B68" s="176"/>
      <c r="C68" s="91" t="str">
        <f t="shared" si="7"/>
        <v>sample.general.purchase-date</v>
      </c>
      <c r="D68" s="31"/>
      <c r="E68" s="31"/>
      <c r="F68" s="32" t="s">
        <v>61</v>
      </c>
      <c r="G68" s="23" t="s">
        <v>62</v>
      </c>
      <c r="H68" s="32" t="s">
        <v>27</v>
      </c>
      <c r="I68" s="23"/>
      <c r="J68" s="23"/>
      <c r="K68" s="33"/>
      <c r="L68" s="33"/>
    </row>
    <row r="69" spans="1:12">
      <c r="A69" s="176"/>
      <c r="B69" s="176"/>
      <c r="C69" s="91" t="str">
        <f t="shared" si="7"/>
        <v>sample.general.supplier</v>
      </c>
      <c r="D69" s="31"/>
      <c r="E69" s="31"/>
      <c r="F69" s="32" t="s">
        <v>63</v>
      </c>
      <c r="G69" s="23" t="s">
        <v>64</v>
      </c>
      <c r="H69" s="32" t="s">
        <v>27</v>
      </c>
      <c r="I69" s="23"/>
      <c r="J69" s="23"/>
      <c r="K69" s="33"/>
      <c r="L69" s="33"/>
    </row>
    <row r="70" spans="1:12" ht="18.5" thickBot="1">
      <c r="A70" s="176"/>
      <c r="B70" s="176"/>
      <c r="C70" s="25" t="str">
        <f t="shared" si="7"/>
        <v>sample.general.lot-number-or-product-number-etc</v>
      </c>
      <c r="D70" s="34"/>
      <c r="E70" s="34"/>
      <c r="F70" s="35" t="s">
        <v>65</v>
      </c>
      <c r="G70" s="35" t="s">
        <v>66</v>
      </c>
      <c r="H70" s="35" t="s">
        <v>27</v>
      </c>
      <c r="I70" s="35"/>
      <c r="J70" s="27"/>
      <c r="K70" s="36"/>
      <c r="L70" s="36"/>
    </row>
    <row r="71" spans="1:12">
      <c r="A71" s="176" t="s">
        <v>67</v>
      </c>
      <c r="B71" s="156" t="s">
        <v>281</v>
      </c>
      <c r="C71" s="13" t="s">
        <v>534</v>
      </c>
      <c r="D71" s="22"/>
      <c r="E71" s="22"/>
      <c r="F71" s="21" t="s">
        <v>546</v>
      </c>
      <c r="G71" s="21" t="s">
        <v>547</v>
      </c>
      <c r="H71" s="29" t="s">
        <v>21</v>
      </c>
      <c r="I71" s="143"/>
      <c r="J71" s="38"/>
      <c r="K71" s="144" t="s">
        <v>548</v>
      </c>
      <c r="L71" s="144" t="s">
        <v>549</v>
      </c>
    </row>
    <row r="72" spans="1:12">
      <c r="A72" s="176"/>
      <c r="B72" s="156"/>
      <c r="C72" s="91" t="s">
        <v>538</v>
      </c>
      <c r="D72" s="31"/>
      <c r="E72" s="31"/>
      <c r="F72" s="21" t="s">
        <v>550</v>
      </c>
      <c r="G72" s="21" t="s">
        <v>551</v>
      </c>
      <c r="H72" s="32" t="s">
        <v>21</v>
      </c>
      <c r="I72" s="143"/>
      <c r="J72" s="38"/>
      <c r="K72" s="144" t="s">
        <v>552</v>
      </c>
      <c r="L72" s="144" t="s">
        <v>549</v>
      </c>
    </row>
    <row r="73" spans="1:12">
      <c r="A73" s="176"/>
      <c r="B73" s="156"/>
      <c r="C73" s="32" t="s">
        <v>553</v>
      </c>
      <c r="D73" s="31"/>
      <c r="E73" s="31"/>
      <c r="F73" s="32" t="s">
        <v>554</v>
      </c>
      <c r="G73" s="32" t="s">
        <v>555</v>
      </c>
      <c r="H73" s="21" t="s">
        <v>21</v>
      </c>
      <c r="I73" s="143"/>
      <c r="J73" s="38"/>
      <c r="K73" s="144" t="s">
        <v>556</v>
      </c>
      <c r="L73" s="144" t="s">
        <v>549</v>
      </c>
    </row>
    <row r="74" spans="1:12">
      <c r="A74" s="176"/>
      <c r="B74" s="156" t="s">
        <v>98</v>
      </c>
      <c r="C74" s="91" t="str">
        <f>"common_"&amp;SUBSTITUTE(LOWER(TRIM(G74))," ","_")</f>
        <v>common_data_type</v>
      </c>
      <c r="D74" s="22"/>
      <c r="E74" s="22"/>
      <c r="F74" s="21" t="s">
        <v>99</v>
      </c>
      <c r="G74" s="21" t="s">
        <v>100</v>
      </c>
      <c r="H74" s="21" t="s">
        <v>21</v>
      </c>
      <c r="I74" s="23"/>
      <c r="J74" s="23"/>
      <c r="K74" s="24" t="s">
        <v>360</v>
      </c>
      <c r="L74" s="24"/>
    </row>
    <row r="75" spans="1:12">
      <c r="A75" s="176"/>
      <c r="B75" s="156"/>
      <c r="C75" s="91" t="str">
        <f t="shared" ref="C75:C77" si="8">"common_"&amp;SUBSTITUTE(LOWER(TRIM(G75))," ","_")</f>
        <v>common_data_origin</v>
      </c>
      <c r="D75" s="22"/>
      <c r="E75" s="22"/>
      <c r="F75" s="21" t="s">
        <v>102</v>
      </c>
      <c r="G75" s="21" t="s">
        <v>103</v>
      </c>
      <c r="H75" s="21" t="s">
        <v>21</v>
      </c>
      <c r="I75" s="23"/>
      <c r="J75" s="23"/>
      <c r="K75" s="24" t="s">
        <v>278</v>
      </c>
      <c r="L75" s="24"/>
    </row>
    <row r="76" spans="1:12">
      <c r="A76" s="176"/>
      <c r="B76" s="156"/>
      <c r="C76" s="91" t="str">
        <f t="shared" si="8"/>
        <v>common_technical_category</v>
      </c>
      <c r="D76" s="22"/>
      <c r="E76" s="22"/>
      <c r="F76" s="21" t="s">
        <v>105</v>
      </c>
      <c r="G76" s="21" t="s">
        <v>106</v>
      </c>
      <c r="H76" s="21" t="s">
        <v>21</v>
      </c>
      <c r="I76" s="23"/>
      <c r="J76" s="23"/>
      <c r="K76" s="24" t="s">
        <v>279</v>
      </c>
      <c r="L76" s="24"/>
    </row>
    <row r="77" spans="1:12">
      <c r="A77" s="176"/>
      <c r="B77" s="156"/>
      <c r="C77" s="91" t="str">
        <f t="shared" si="8"/>
        <v>common_reference</v>
      </c>
      <c r="D77" s="22"/>
      <c r="E77" s="22"/>
      <c r="F77" s="21" t="s">
        <v>108</v>
      </c>
      <c r="G77" s="21" t="s">
        <v>109</v>
      </c>
      <c r="H77" s="21" t="s">
        <v>21</v>
      </c>
      <c r="I77" s="23"/>
      <c r="J77" s="23"/>
      <c r="K77" s="24"/>
      <c r="L77" s="24"/>
    </row>
    <row r="78" spans="1:12">
      <c r="A78" s="176"/>
      <c r="B78" s="162" t="s">
        <v>557</v>
      </c>
      <c r="C78" s="91" t="s">
        <v>558</v>
      </c>
      <c r="D78" s="22"/>
      <c r="E78" s="22"/>
      <c r="F78" s="21" t="s">
        <v>559</v>
      </c>
      <c r="G78" s="21" t="s">
        <v>560</v>
      </c>
      <c r="H78" s="21" t="s">
        <v>21</v>
      </c>
      <c r="I78" s="23"/>
      <c r="J78" s="23"/>
      <c r="K78" s="24" t="s">
        <v>561</v>
      </c>
      <c r="L78" s="145"/>
    </row>
    <row r="79" spans="1:12">
      <c r="A79" s="176"/>
      <c r="B79" s="163"/>
      <c r="C79" s="91" t="s">
        <v>562</v>
      </c>
      <c r="D79" s="22"/>
      <c r="E79" s="22"/>
      <c r="F79" s="21" t="s">
        <v>563</v>
      </c>
      <c r="G79" s="21" t="s">
        <v>564</v>
      </c>
      <c r="H79" s="21" t="s">
        <v>21</v>
      </c>
      <c r="I79" s="23"/>
      <c r="J79" s="23"/>
      <c r="K79" s="24" t="s">
        <v>565</v>
      </c>
      <c r="L79" s="145"/>
    </row>
    <row r="80" spans="1:12">
      <c r="A80" s="176"/>
      <c r="B80" s="163"/>
      <c r="C80" s="91" t="s">
        <v>566</v>
      </c>
      <c r="D80" s="22"/>
      <c r="E80" s="22"/>
      <c r="F80" s="21" t="s">
        <v>567</v>
      </c>
      <c r="G80" s="21" t="s">
        <v>568</v>
      </c>
      <c r="H80" s="21" t="s">
        <v>21</v>
      </c>
      <c r="I80" s="23"/>
      <c r="J80" s="23"/>
      <c r="K80" s="24" t="s">
        <v>569</v>
      </c>
      <c r="L80" s="145"/>
    </row>
    <row r="81" spans="1:12">
      <c r="A81" s="176"/>
      <c r="B81" s="163"/>
      <c r="C81" s="91" t="s">
        <v>570</v>
      </c>
      <c r="D81" s="22"/>
      <c r="E81" s="22"/>
      <c r="F81" s="21" t="s">
        <v>571</v>
      </c>
      <c r="G81" s="21" t="s">
        <v>572</v>
      </c>
      <c r="H81" s="21" t="s">
        <v>21</v>
      </c>
      <c r="I81" s="23"/>
      <c r="J81" s="23"/>
      <c r="K81" s="24" t="s">
        <v>573</v>
      </c>
      <c r="L81" s="145"/>
    </row>
    <row r="82" spans="1:12">
      <c r="A82" s="176"/>
      <c r="B82" s="163"/>
      <c r="C82" s="91" t="s">
        <v>574</v>
      </c>
      <c r="D82" s="22"/>
      <c r="E82" s="22"/>
      <c r="F82" s="21" t="s">
        <v>575</v>
      </c>
      <c r="G82" s="21" t="s">
        <v>576</v>
      </c>
      <c r="H82" s="21" t="s">
        <v>21</v>
      </c>
      <c r="I82" s="23"/>
      <c r="J82" s="23"/>
      <c r="K82" s="24"/>
      <c r="L82" s="145"/>
    </row>
    <row r="83" spans="1:12">
      <c r="A83" s="176"/>
      <c r="B83" s="163"/>
      <c r="C83" s="91" t="s">
        <v>577</v>
      </c>
      <c r="D83" s="22"/>
      <c r="E83" s="22"/>
      <c r="F83" s="21" t="s">
        <v>578</v>
      </c>
      <c r="G83" s="21" t="s">
        <v>579</v>
      </c>
      <c r="H83" s="21" t="s">
        <v>21</v>
      </c>
      <c r="I83" s="23"/>
      <c r="J83" s="23"/>
      <c r="K83" s="24" t="s">
        <v>580</v>
      </c>
      <c r="L83" s="145"/>
    </row>
    <row r="84" spans="1:12">
      <c r="A84" s="176"/>
      <c r="B84" s="163"/>
      <c r="C84" s="91" t="s">
        <v>581</v>
      </c>
      <c r="D84" s="22"/>
      <c r="E84" s="22"/>
      <c r="F84" s="21" t="s">
        <v>582</v>
      </c>
      <c r="G84" s="21" t="s">
        <v>443</v>
      </c>
      <c r="H84" s="21" t="s">
        <v>21</v>
      </c>
      <c r="I84" s="23"/>
      <c r="J84" s="23"/>
      <c r="K84" s="24" t="s">
        <v>583</v>
      </c>
      <c r="L84" s="145"/>
    </row>
    <row r="85" spans="1:12">
      <c r="A85" s="176"/>
      <c r="B85" s="163"/>
      <c r="C85" s="91" t="s">
        <v>584</v>
      </c>
      <c r="D85" s="22"/>
      <c r="E85" s="22"/>
      <c r="F85" s="21" t="s">
        <v>585</v>
      </c>
      <c r="G85" s="21" t="s">
        <v>586</v>
      </c>
      <c r="H85" s="21" t="s">
        <v>128</v>
      </c>
      <c r="I85" s="23"/>
      <c r="J85" s="23"/>
      <c r="K85" s="24"/>
      <c r="L85" s="145" t="s">
        <v>587</v>
      </c>
    </row>
    <row r="86" spans="1:12">
      <c r="A86" s="176"/>
      <c r="B86" s="163"/>
      <c r="C86" s="91" t="s">
        <v>588</v>
      </c>
      <c r="D86" s="22"/>
      <c r="E86" s="22"/>
      <c r="F86" s="21" t="s">
        <v>589</v>
      </c>
      <c r="G86" s="21" t="s">
        <v>590</v>
      </c>
      <c r="H86" s="21" t="s">
        <v>21</v>
      </c>
      <c r="I86" s="23"/>
      <c r="J86" s="23"/>
      <c r="K86" s="24"/>
      <c r="L86" s="145"/>
    </row>
    <row r="87" spans="1:12">
      <c r="A87" s="176"/>
      <c r="B87" s="164"/>
      <c r="C87" s="91" t="s">
        <v>591</v>
      </c>
      <c r="D87" s="22"/>
      <c r="E87" s="22"/>
      <c r="F87" s="21" t="s">
        <v>592</v>
      </c>
      <c r="G87" s="21" t="s">
        <v>593</v>
      </c>
      <c r="H87" s="21" t="s">
        <v>21</v>
      </c>
      <c r="I87" s="23"/>
      <c r="J87" s="23"/>
      <c r="K87" s="24" t="s">
        <v>594</v>
      </c>
      <c r="L87" s="145"/>
    </row>
    <row r="88" spans="1:12" ht="20">
      <c r="G88" s="42"/>
    </row>
  </sheetData>
  <mergeCells count="16">
    <mergeCell ref="A4:B4"/>
    <mergeCell ref="A5:B10"/>
    <mergeCell ref="A11:A25"/>
    <mergeCell ref="B11:B25"/>
    <mergeCell ref="A26:A44"/>
    <mergeCell ref="B26:B32"/>
    <mergeCell ref="B33:B36"/>
    <mergeCell ref="B37:B44"/>
    <mergeCell ref="A49:B49"/>
    <mergeCell ref="A50:B55"/>
    <mergeCell ref="A56:A70"/>
    <mergeCell ref="B56:B70"/>
    <mergeCell ref="A71:A87"/>
    <mergeCell ref="B71:B73"/>
    <mergeCell ref="B74:B77"/>
    <mergeCell ref="B78:B87"/>
  </mergeCells>
  <phoneticPr fontId="2"/>
  <conditionalFormatting sqref="K5:L10">
    <cfRule type="expression" dxfId="13" priority="9">
      <formula>#REF!=1</formula>
    </cfRule>
    <cfRule type="expression" dxfId="12" priority="10">
      <formula>#REF!=1</formula>
    </cfRule>
  </conditionalFormatting>
  <conditionalFormatting sqref="K26:L26">
    <cfRule type="expression" dxfId="11" priority="15">
      <formula>#REF!=1</formula>
    </cfRule>
    <cfRule type="expression" dxfId="10" priority="16">
      <formula>#REF!=1</formula>
    </cfRule>
  </conditionalFormatting>
  <conditionalFormatting sqref="K30:L30 K33:L36 L37:L38 K39:L44">
    <cfRule type="expression" dxfId="9" priority="11">
      <formula>#REF!=1</formula>
    </cfRule>
    <cfRule type="expression" dxfId="8" priority="12">
      <formula>#REF!=1</formula>
    </cfRule>
  </conditionalFormatting>
  <conditionalFormatting sqref="K50:L55">
    <cfRule type="expression" dxfId="7" priority="1">
      <formula>#REF!=1</formula>
    </cfRule>
    <cfRule type="expression" dxfId="6" priority="2">
      <formula>#REF!=1</formula>
    </cfRule>
  </conditionalFormatting>
  <conditionalFormatting sqref="K74:L87">
    <cfRule type="expression" dxfId="5" priority="3">
      <formula>#REF!=1</formula>
    </cfRule>
    <cfRule type="expression" dxfId="4" priority="4">
      <formula>#REF!=1</formula>
    </cfRule>
  </conditionalFormatting>
  <dataValidations count="2">
    <dataValidation type="list" allowBlank="1" showInputMessage="1" showErrorMessage="1" sqref="K5:L5 K50:L50" xr:uid="{70676DEB-DDBC-4F96-80D9-BA0D31D1B004}">
      <formula1>#REF!</formula1>
    </dataValidation>
    <dataValidation type="list" allowBlank="1" showInputMessage="1" showErrorMessage="1" sqref="I25 H5:H44 I70:I73 H50:H87" xr:uid="{D4CAA165-6F3C-4035-B16A-373F74521D8B}">
      <formula1>"string,string[date],number,integer"</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7A099-D1D9-47C6-9CCA-1E0707904294}">
  <dimension ref="A1:M123"/>
  <sheetViews>
    <sheetView topLeftCell="A46" zoomScale="75" zoomScaleNormal="75" workbookViewId="0">
      <selection activeCell="A55" sqref="A55"/>
    </sheetView>
  </sheetViews>
  <sheetFormatPr defaultColWidth="9" defaultRowHeight="18"/>
  <cols>
    <col min="1" max="1" width="16.33203125" style="3" bestFit="1" customWidth="1"/>
    <col min="2" max="2" width="13.33203125" style="3" customWidth="1"/>
    <col min="3" max="4" width="33.08203125" style="3" customWidth="1"/>
    <col min="5" max="5" width="9.5" style="3" customWidth="1"/>
    <col min="6" max="6" width="33.08203125" style="3" customWidth="1"/>
    <col min="7" max="7" width="32.08203125" style="3" bestFit="1" customWidth="1"/>
    <col min="8" max="8" width="15.08203125" style="3" bestFit="1" customWidth="1"/>
    <col min="9" max="9" width="13.33203125" style="3" customWidth="1"/>
    <col min="10" max="10" width="5.83203125" style="3" bestFit="1" customWidth="1"/>
    <col min="11" max="11" width="33.08203125" style="3" customWidth="1"/>
    <col min="12" max="12" width="43.08203125" style="3" customWidth="1"/>
    <col min="13" max="13" width="44.33203125" style="3" customWidth="1"/>
    <col min="14" max="16384" width="9" style="3"/>
  </cols>
  <sheetData>
    <row r="1" spans="1:13">
      <c r="A1" s="140" t="s">
        <v>515</v>
      </c>
    </row>
    <row r="2" spans="1:13">
      <c r="A2" s="3" t="s">
        <v>282</v>
      </c>
      <c r="C2" s="3" t="s">
        <v>1</v>
      </c>
      <c r="D2" s="3" t="s">
        <v>134</v>
      </c>
      <c r="F2" s="3" t="s">
        <v>2</v>
      </c>
      <c r="G2" s="3" t="s">
        <v>3</v>
      </c>
      <c r="H2" s="6" t="s">
        <v>4</v>
      </c>
      <c r="I2" s="3" t="s">
        <v>5</v>
      </c>
      <c r="J2" s="3" t="s">
        <v>6</v>
      </c>
      <c r="K2" s="6" t="s">
        <v>7</v>
      </c>
    </row>
    <row r="3" spans="1:13" ht="90">
      <c r="A3" s="43" t="s">
        <v>283</v>
      </c>
      <c r="B3" s="45" t="s">
        <v>388</v>
      </c>
      <c r="C3" s="43" t="s">
        <v>135</v>
      </c>
      <c r="D3" s="44" t="s">
        <v>136</v>
      </c>
      <c r="E3" s="43" t="s">
        <v>137</v>
      </c>
      <c r="F3" s="44" t="s">
        <v>11</v>
      </c>
      <c r="G3" s="44" t="s">
        <v>138</v>
      </c>
      <c r="H3" s="43" t="s">
        <v>13</v>
      </c>
      <c r="I3" s="45" t="s">
        <v>14</v>
      </c>
      <c r="J3" s="45" t="s">
        <v>15</v>
      </c>
      <c r="K3" s="46" t="s">
        <v>16</v>
      </c>
      <c r="L3" s="47" t="s">
        <v>139</v>
      </c>
    </row>
    <row r="4" spans="1:13" ht="20">
      <c r="A4" s="95"/>
      <c r="B4" s="120" t="s">
        <v>389</v>
      </c>
      <c r="C4" s="48" t="s">
        <v>416</v>
      </c>
      <c r="D4" s="23" t="s">
        <v>285</v>
      </c>
      <c r="E4" s="23"/>
      <c r="F4" s="23" t="s">
        <v>150</v>
      </c>
      <c r="G4" s="21" t="s">
        <v>334</v>
      </c>
      <c r="H4" s="23" t="s">
        <v>21</v>
      </c>
      <c r="I4" s="122"/>
      <c r="J4" s="23"/>
      <c r="K4" s="50"/>
      <c r="L4" s="23"/>
    </row>
    <row r="5" spans="1:13" ht="20">
      <c r="A5" s="95"/>
      <c r="B5" s="120" t="s">
        <v>389</v>
      </c>
      <c r="C5" s="48" t="s">
        <v>417</v>
      </c>
      <c r="D5" s="23" t="s">
        <v>286</v>
      </c>
      <c r="E5" s="23"/>
      <c r="F5" s="23" t="s">
        <v>287</v>
      </c>
      <c r="G5" s="21" t="s">
        <v>335</v>
      </c>
      <c r="H5" s="23" t="s">
        <v>21</v>
      </c>
      <c r="I5" s="123"/>
      <c r="J5" s="23"/>
      <c r="K5" s="50"/>
      <c r="L5" s="23"/>
    </row>
    <row r="6" spans="1:13" ht="18" customHeight="1">
      <c r="A6" s="95"/>
      <c r="B6" s="120" t="s">
        <v>389</v>
      </c>
      <c r="C6" s="23" t="s">
        <v>418</v>
      </c>
      <c r="D6" s="23" t="s">
        <v>288</v>
      </c>
      <c r="E6" s="23"/>
      <c r="F6" s="23" t="s">
        <v>289</v>
      </c>
      <c r="G6" s="23" t="s">
        <v>336</v>
      </c>
      <c r="H6" s="23" t="s">
        <v>21</v>
      </c>
      <c r="I6" s="124"/>
      <c r="J6" s="23"/>
      <c r="K6" s="50"/>
      <c r="L6" s="23"/>
    </row>
    <row r="7" spans="1:13" ht="20">
      <c r="A7" s="95"/>
      <c r="B7" s="120" t="s">
        <v>389</v>
      </c>
      <c r="C7" s="48" t="s">
        <v>419</v>
      </c>
      <c r="D7" s="23" t="s">
        <v>290</v>
      </c>
      <c r="E7" s="23"/>
      <c r="F7" s="23" t="s">
        <v>291</v>
      </c>
      <c r="G7" s="21" t="s">
        <v>337</v>
      </c>
      <c r="H7" s="23" t="s">
        <v>21</v>
      </c>
      <c r="I7" s="123"/>
      <c r="J7" s="23"/>
      <c r="K7" s="50"/>
      <c r="L7" s="23"/>
    </row>
    <row r="8" spans="1:13" ht="20">
      <c r="A8" s="95"/>
      <c r="B8" s="120" t="s">
        <v>389</v>
      </c>
      <c r="C8" s="48" t="s">
        <v>420</v>
      </c>
      <c r="D8" s="23" t="s">
        <v>292</v>
      </c>
      <c r="E8" s="23"/>
      <c r="F8" s="23" t="s">
        <v>293</v>
      </c>
      <c r="G8" s="21" t="s">
        <v>357</v>
      </c>
      <c r="H8" s="23" t="s">
        <v>200</v>
      </c>
      <c r="I8" s="123" t="s">
        <v>359</v>
      </c>
      <c r="J8" s="23"/>
      <c r="K8" s="50"/>
      <c r="L8" s="23"/>
    </row>
    <row r="9" spans="1:13" ht="20">
      <c r="A9" s="95"/>
      <c r="B9" s="120" t="s">
        <v>389</v>
      </c>
      <c r="C9" s="48" t="s">
        <v>421</v>
      </c>
      <c r="D9" s="23" t="s">
        <v>294</v>
      </c>
      <c r="E9" s="23"/>
      <c r="F9" s="23" t="s">
        <v>295</v>
      </c>
      <c r="G9" s="21" t="s">
        <v>338</v>
      </c>
      <c r="H9" s="23" t="s">
        <v>21</v>
      </c>
      <c r="I9" s="125"/>
      <c r="J9" s="23"/>
      <c r="K9" s="50"/>
      <c r="L9" s="23"/>
    </row>
    <row r="10" spans="1:13" ht="20">
      <c r="A10" s="95"/>
      <c r="B10" s="120" t="s">
        <v>389</v>
      </c>
      <c r="C10" s="103" t="s">
        <v>422</v>
      </c>
      <c r="D10" s="38" t="s">
        <v>296</v>
      </c>
      <c r="E10" s="38"/>
      <c r="F10" s="38" t="s">
        <v>297</v>
      </c>
      <c r="G10" s="38" t="s">
        <v>339</v>
      </c>
      <c r="H10" s="38" t="s">
        <v>21</v>
      </c>
      <c r="I10" s="126"/>
      <c r="J10" s="38"/>
      <c r="K10" s="104"/>
      <c r="L10" s="23"/>
    </row>
    <row r="11" spans="1:13" ht="20">
      <c r="A11" s="100"/>
      <c r="B11" s="120" t="s">
        <v>389</v>
      </c>
      <c r="C11" s="48" t="s">
        <v>423</v>
      </c>
      <c r="D11" s="23" t="s">
        <v>298</v>
      </c>
      <c r="E11" s="23"/>
      <c r="F11" s="23" t="s">
        <v>299</v>
      </c>
      <c r="G11" s="21" t="s">
        <v>340</v>
      </c>
      <c r="H11" s="23" t="s">
        <v>200</v>
      </c>
      <c r="I11" s="125" t="s">
        <v>387</v>
      </c>
      <c r="J11" s="23"/>
      <c r="K11" s="50"/>
      <c r="L11" s="101"/>
    </row>
    <row r="12" spans="1:13" ht="20">
      <c r="A12" s="100"/>
      <c r="B12" s="120" t="s">
        <v>389</v>
      </c>
      <c r="C12" s="48" t="s">
        <v>424</v>
      </c>
      <c r="D12" s="23" t="s">
        <v>300</v>
      </c>
      <c r="E12" s="23"/>
      <c r="F12" s="23" t="s">
        <v>301</v>
      </c>
      <c r="G12" s="21" t="s">
        <v>341</v>
      </c>
      <c r="H12" s="23" t="s">
        <v>200</v>
      </c>
      <c r="I12" s="125" t="s">
        <v>387</v>
      </c>
      <c r="J12" s="23"/>
      <c r="K12" s="50"/>
      <c r="L12" s="101"/>
    </row>
    <row r="13" spans="1:13" ht="20">
      <c r="A13" s="100"/>
      <c r="B13" s="120" t="s">
        <v>389</v>
      </c>
      <c r="C13" s="48" t="s">
        <v>425</v>
      </c>
      <c r="D13" s="23" t="s">
        <v>302</v>
      </c>
      <c r="E13" s="23"/>
      <c r="F13" s="23" t="s">
        <v>303</v>
      </c>
      <c r="G13" s="21" t="s">
        <v>342</v>
      </c>
      <c r="H13" s="23" t="s">
        <v>200</v>
      </c>
      <c r="I13" s="125" t="s">
        <v>387</v>
      </c>
      <c r="J13" s="23"/>
      <c r="K13" s="50"/>
      <c r="L13" s="102"/>
      <c r="M13" s="6"/>
    </row>
    <row r="14" spans="1:13" ht="20">
      <c r="A14" s="23"/>
      <c r="B14" s="120" t="s">
        <v>389</v>
      </c>
      <c r="C14" s="52" t="s">
        <v>426</v>
      </c>
      <c r="D14" s="52" t="s">
        <v>304</v>
      </c>
      <c r="E14" s="52"/>
      <c r="F14" s="52" t="s">
        <v>305</v>
      </c>
      <c r="G14" s="52" t="s">
        <v>343</v>
      </c>
      <c r="H14" s="52" t="s">
        <v>21</v>
      </c>
      <c r="I14" s="127"/>
      <c r="J14" s="52"/>
      <c r="K14" s="52"/>
      <c r="L14" s="23"/>
    </row>
    <row r="15" spans="1:13" ht="20">
      <c r="A15" s="23"/>
      <c r="B15" s="120" t="s">
        <v>389</v>
      </c>
      <c r="C15" s="23" t="s">
        <v>427</v>
      </c>
      <c r="D15" s="23" t="s">
        <v>306</v>
      </c>
      <c r="E15" s="23"/>
      <c r="F15" s="23" t="s">
        <v>307</v>
      </c>
      <c r="G15" s="23" t="s">
        <v>344</v>
      </c>
      <c r="H15" s="23" t="s">
        <v>200</v>
      </c>
      <c r="I15" s="123" t="s">
        <v>469</v>
      </c>
      <c r="J15" s="23"/>
      <c r="K15" s="23"/>
      <c r="L15" s="23"/>
    </row>
    <row r="16" spans="1:13" ht="20">
      <c r="A16" s="23"/>
      <c r="B16" s="120" t="s">
        <v>389</v>
      </c>
      <c r="C16" s="23" t="s">
        <v>428</v>
      </c>
      <c r="D16" s="23" t="s">
        <v>308</v>
      </c>
      <c r="E16" s="23"/>
      <c r="F16" s="23" t="s">
        <v>309</v>
      </c>
      <c r="G16" s="23" t="s">
        <v>345</v>
      </c>
      <c r="H16" s="23" t="s">
        <v>200</v>
      </c>
      <c r="I16" s="123" t="s">
        <v>475</v>
      </c>
      <c r="J16" s="23"/>
      <c r="K16" s="23"/>
      <c r="L16" s="23"/>
    </row>
    <row r="17" spans="1:12" ht="20">
      <c r="A17" s="23"/>
      <c r="B17" s="120" t="s">
        <v>389</v>
      </c>
      <c r="C17" s="23" t="s">
        <v>429</v>
      </c>
      <c r="D17" s="23" t="s">
        <v>332</v>
      </c>
      <c r="E17" s="23"/>
      <c r="F17" s="23" t="s">
        <v>310</v>
      </c>
      <c r="G17" s="23" t="s">
        <v>346</v>
      </c>
      <c r="H17" s="98" t="s">
        <v>21</v>
      </c>
      <c r="I17" s="123"/>
      <c r="J17" s="23"/>
      <c r="K17" s="23"/>
      <c r="L17" s="23"/>
    </row>
    <row r="18" spans="1:12" ht="20">
      <c r="A18" s="23"/>
      <c r="B18" s="120" t="s">
        <v>389</v>
      </c>
      <c r="C18" s="23" t="s">
        <v>430</v>
      </c>
      <c r="D18" s="23" t="s">
        <v>311</v>
      </c>
      <c r="E18" s="23"/>
      <c r="F18" s="23" t="s">
        <v>312</v>
      </c>
      <c r="G18" s="23" t="s">
        <v>347</v>
      </c>
      <c r="H18" s="23" t="s">
        <v>200</v>
      </c>
      <c r="I18" s="123"/>
      <c r="J18" s="23"/>
      <c r="K18" s="23"/>
      <c r="L18" s="23"/>
    </row>
    <row r="19" spans="1:12" ht="20">
      <c r="A19" s="23"/>
      <c r="B19" s="120" t="s">
        <v>389</v>
      </c>
      <c r="C19" s="23" t="s">
        <v>431</v>
      </c>
      <c r="D19" s="23" t="s">
        <v>313</v>
      </c>
      <c r="E19" s="23"/>
      <c r="F19" s="23" t="s">
        <v>314</v>
      </c>
      <c r="G19" s="23" t="s">
        <v>348</v>
      </c>
      <c r="H19" s="23" t="s">
        <v>21</v>
      </c>
      <c r="I19" s="123"/>
      <c r="J19" s="23"/>
      <c r="K19" s="23"/>
      <c r="L19" s="23"/>
    </row>
    <row r="20" spans="1:12" ht="20">
      <c r="A20" s="23"/>
      <c r="B20" s="120" t="s">
        <v>389</v>
      </c>
      <c r="C20" s="23" t="s">
        <v>432</v>
      </c>
      <c r="D20" s="23" t="s">
        <v>315</v>
      </c>
      <c r="E20" s="23"/>
      <c r="F20" s="23" t="s">
        <v>468</v>
      </c>
      <c r="G20" s="23" t="s">
        <v>349</v>
      </c>
      <c r="H20" s="23" t="s">
        <v>21</v>
      </c>
      <c r="I20" s="123"/>
      <c r="J20" s="23"/>
      <c r="K20" s="23"/>
      <c r="L20" s="23"/>
    </row>
    <row r="21" spans="1:12" ht="20">
      <c r="A21" s="23"/>
      <c r="B21" s="120" t="s">
        <v>389</v>
      </c>
      <c r="C21" s="23" t="s">
        <v>433</v>
      </c>
      <c r="D21" s="23" t="s">
        <v>317</v>
      </c>
      <c r="E21" s="23"/>
      <c r="F21" s="23" t="s">
        <v>318</v>
      </c>
      <c r="G21" s="23" t="s">
        <v>350</v>
      </c>
      <c r="H21" s="23" t="s">
        <v>21</v>
      </c>
      <c r="I21" s="123"/>
      <c r="J21" s="23"/>
      <c r="K21" s="23"/>
      <c r="L21" s="23"/>
    </row>
    <row r="22" spans="1:12" ht="20">
      <c r="A22" s="23"/>
      <c r="B22" s="120" t="s">
        <v>389</v>
      </c>
      <c r="C22" s="23" t="s">
        <v>434</v>
      </c>
      <c r="D22" s="23" t="s">
        <v>319</v>
      </c>
      <c r="E22" s="23"/>
      <c r="F22" s="23" t="s">
        <v>320</v>
      </c>
      <c r="G22" s="23" t="s">
        <v>351</v>
      </c>
      <c r="H22" s="23" t="s">
        <v>21</v>
      </c>
      <c r="I22" s="123"/>
      <c r="J22" s="23"/>
      <c r="K22" s="23"/>
      <c r="L22" s="23"/>
    </row>
    <row r="23" spans="1:12" ht="20">
      <c r="A23" s="23"/>
      <c r="B23" s="120" t="s">
        <v>389</v>
      </c>
      <c r="C23" s="23" t="s">
        <v>435</v>
      </c>
      <c r="D23" s="23" t="s">
        <v>321</v>
      </c>
      <c r="E23" s="23"/>
      <c r="F23" s="23" t="s">
        <v>322</v>
      </c>
      <c r="G23" s="23" t="s">
        <v>352</v>
      </c>
      <c r="H23" s="23" t="s">
        <v>200</v>
      </c>
      <c r="I23" s="123" t="s">
        <v>470</v>
      </c>
      <c r="J23" s="23"/>
      <c r="K23" s="23"/>
      <c r="L23" s="23"/>
    </row>
    <row r="24" spans="1:12" ht="20">
      <c r="A24" s="23"/>
      <c r="B24" s="120" t="s">
        <v>389</v>
      </c>
      <c r="C24" s="23" t="s">
        <v>436</v>
      </c>
      <c r="D24" s="23" t="s">
        <v>323</v>
      </c>
      <c r="E24" s="23"/>
      <c r="F24" s="23" t="s">
        <v>333</v>
      </c>
      <c r="G24" s="23" t="s">
        <v>358</v>
      </c>
      <c r="H24" s="23" t="s">
        <v>200</v>
      </c>
      <c r="I24" s="123" t="s">
        <v>476</v>
      </c>
      <c r="J24" s="23"/>
      <c r="K24" s="23"/>
      <c r="L24" s="23"/>
    </row>
    <row r="25" spans="1:12" ht="20">
      <c r="A25" s="23"/>
      <c r="B25" s="120" t="s">
        <v>389</v>
      </c>
      <c r="C25" s="23" t="s">
        <v>437</v>
      </c>
      <c r="D25" s="23" t="s">
        <v>324</v>
      </c>
      <c r="E25" s="23"/>
      <c r="F25" s="23" t="s">
        <v>325</v>
      </c>
      <c r="G25" s="23" t="s">
        <v>353</v>
      </c>
      <c r="H25" s="23" t="s">
        <v>200</v>
      </c>
      <c r="I25" s="123" t="s">
        <v>476</v>
      </c>
      <c r="J25" s="23"/>
      <c r="K25" s="23"/>
      <c r="L25" s="23"/>
    </row>
    <row r="26" spans="1:12" ht="20">
      <c r="A26" s="23"/>
      <c r="B26" s="120" t="s">
        <v>389</v>
      </c>
      <c r="C26" s="23" t="s">
        <v>438</v>
      </c>
      <c r="D26" s="23" t="s">
        <v>326</v>
      </c>
      <c r="E26" s="23"/>
      <c r="F26" s="23" t="s">
        <v>327</v>
      </c>
      <c r="G26" s="23" t="s">
        <v>354</v>
      </c>
      <c r="H26" s="23" t="s">
        <v>200</v>
      </c>
      <c r="I26" s="123" t="s">
        <v>476</v>
      </c>
      <c r="J26" s="23"/>
      <c r="K26" s="23"/>
      <c r="L26" s="23"/>
    </row>
    <row r="27" spans="1:12" ht="20">
      <c r="A27" s="23"/>
      <c r="B27" s="120" t="s">
        <v>389</v>
      </c>
      <c r="C27" s="23" t="s">
        <v>439</v>
      </c>
      <c r="D27" s="23" t="s">
        <v>328</v>
      </c>
      <c r="E27" s="23"/>
      <c r="F27" s="23" t="s">
        <v>329</v>
      </c>
      <c r="G27" s="23" t="s">
        <v>355</v>
      </c>
      <c r="H27" s="23" t="s">
        <v>21</v>
      </c>
      <c r="I27" s="123"/>
      <c r="J27" s="23"/>
      <c r="K27" s="23"/>
      <c r="L27" s="23"/>
    </row>
    <row r="28" spans="1:12" ht="20">
      <c r="A28" s="23"/>
      <c r="B28" s="120" t="s">
        <v>389</v>
      </c>
      <c r="C28" s="23" t="s">
        <v>440</v>
      </c>
      <c r="D28" s="23" t="s">
        <v>330</v>
      </c>
      <c r="E28" s="23"/>
      <c r="F28" s="23" t="s">
        <v>331</v>
      </c>
      <c r="G28" s="23" t="s">
        <v>356</v>
      </c>
      <c r="H28" s="23" t="s">
        <v>21</v>
      </c>
      <c r="I28" s="123"/>
      <c r="J28" s="23"/>
      <c r="K28" s="23"/>
      <c r="L28" s="23"/>
    </row>
    <row r="29" spans="1:12" ht="20">
      <c r="A29" s="38"/>
      <c r="B29" s="121" t="s">
        <v>390</v>
      </c>
      <c r="C29" s="103" t="s">
        <v>391</v>
      </c>
      <c r="D29" s="38" t="s">
        <v>441</v>
      </c>
      <c r="E29" s="38"/>
      <c r="F29" s="38" t="s">
        <v>150</v>
      </c>
      <c r="G29" s="39" t="s">
        <v>334</v>
      </c>
      <c r="H29" s="38" t="s">
        <v>21</v>
      </c>
      <c r="I29" s="128"/>
      <c r="J29" s="38"/>
      <c r="K29" s="38"/>
      <c r="L29" s="38"/>
    </row>
    <row r="30" spans="1:12" ht="20">
      <c r="A30" s="23"/>
      <c r="B30" s="120" t="s">
        <v>390</v>
      </c>
      <c r="C30" s="48" t="s">
        <v>392</v>
      </c>
      <c r="D30" s="23" t="s">
        <v>442</v>
      </c>
      <c r="E30" s="23"/>
      <c r="F30" s="23" t="s">
        <v>287</v>
      </c>
      <c r="G30" s="21" t="s">
        <v>335</v>
      </c>
      <c r="H30" s="23" t="s">
        <v>21</v>
      </c>
      <c r="I30" s="123"/>
      <c r="J30" s="23"/>
      <c r="K30" s="23"/>
      <c r="L30" s="23"/>
    </row>
    <row r="31" spans="1:12" ht="20">
      <c r="A31" s="23"/>
      <c r="B31" s="120" t="s">
        <v>390</v>
      </c>
      <c r="C31" s="23" t="s">
        <v>393</v>
      </c>
      <c r="D31" s="23" t="s">
        <v>443</v>
      </c>
      <c r="E31" s="23"/>
      <c r="F31" s="23" t="s">
        <v>289</v>
      </c>
      <c r="G31" s="23" t="s">
        <v>336</v>
      </c>
      <c r="H31" s="23" t="s">
        <v>21</v>
      </c>
      <c r="I31" s="124"/>
      <c r="J31" s="23"/>
      <c r="K31" s="23"/>
      <c r="L31" s="23"/>
    </row>
    <row r="32" spans="1:12" ht="20">
      <c r="A32" s="23"/>
      <c r="B32" s="120" t="s">
        <v>390</v>
      </c>
      <c r="C32" s="48" t="s">
        <v>394</v>
      </c>
      <c r="D32" s="23" t="s">
        <v>444</v>
      </c>
      <c r="E32" s="23"/>
      <c r="F32" s="23" t="s">
        <v>291</v>
      </c>
      <c r="G32" s="21" t="s">
        <v>337</v>
      </c>
      <c r="H32" s="23" t="s">
        <v>21</v>
      </c>
      <c r="I32" s="123"/>
      <c r="J32" s="23"/>
      <c r="K32" s="23"/>
      <c r="L32" s="23"/>
    </row>
    <row r="33" spans="1:12" ht="20">
      <c r="A33" s="23"/>
      <c r="B33" s="120" t="s">
        <v>390</v>
      </c>
      <c r="C33" s="48" t="s">
        <v>395</v>
      </c>
      <c r="D33" s="23" t="s">
        <v>445</v>
      </c>
      <c r="E33" s="23"/>
      <c r="F33" s="23" t="s">
        <v>293</v>
      </c>
      <c r="G33" s="21" t="s">
        <v>357</v>
      </c>
      <c r="H33" s="23" t="s">
        <v>200</v>
      </c>
      <c r="I33" s="123" t="s">
        <v>359</v>
      </c>
      <c r="J33" s="23"/>
      <c r="K33" s="23"/>
      <c r="L33" s="23"/>
    </row>
    <row r="34" spans="1:12" ht="20">
      <c r="A34" s="23"/>
      <c r="B34" s="120" t="s">
        <v>390</v>
      </c>
      <c r="C34" s="48" t="s">
        <v>396</v>
      </c>
      <c r="D34" s="23" t="s">
        <v>446</v>
      </c>
      <c r="E34" s="23"/>
      <c r="F34" s="23" t="s">
        <v>295</v>
      </c>
      <c r="G34" s="21" t="s">
        <v>338</v>
      </c>
      <c r="H34" s="23" t="s">
        <v>21</v>
      </c>
      <c r="I34" s="125"/>
      <c r="J34" s="23"/>
      <c r="K34" s="23"/>
      <c r="L34" s="23"/>
    </row>
    <row r="35" spans="1:12" ht="20">
      <c r="A35" s="23"/>
      <c r="B35" s="120" t="s">
        <v>390</v>
      </c>
      <c r="C35" s="48" t="s">
        <v>397</v>
      </c>
      <c r="D35" s="23" t="s">
        <v>447</v>
      </c>
      <c r="E35" s="23"/>
      <c r="F35" s="23" t="s">
        <v>297</v>
      </c>
      <c r="G35" s="23" t="s">
        <v>339</v>
      </c>
      <c r="H35" s="23" t="s">
        <v>21</v>
      </c>
      <c r="I35" s="125"/>
      <c r="J35" s="23"/>
      <c r="K35" s="23"/>
      <c r="L35" s="23"/>
    </row>
    <row r="36" spans="1:12" ht="20">
      <c r="A36" s="23"/>
      <c r="B36" s="120" t="s">
        <v>390</v>
      </c>
      <c r="C36" s="48" t="s">
        <v>398</v>
      </c>
      <c r="D36" s="23" t="s">
        <v>448</v>
      </c>
      <c r="E36" s="23"/>
      <c r="F36" s="23" t="s">
        <v>299</v>
      </c>
      <c r="G36" s="21" t="s">
        <v>340</v>
      </c>
      <c r="H36" s="23" t="s">
        <v>200</v>
      </c>
      <c r="I36" s="125" t="s">
        <v>387</v>
      </c>
      <c r="J36" s="23"/>
      <c r="K36" s="23"/>
      <c r="L36" s="23"/>
    </row>
    <row r="37" spans="1:12" ht="20">
      <c r="A37" s="23"/>
      <c r="B37" s="120" t="s">
        <v>390</v>
      </c>
      <c r="C37" s="48" t="s">
        <v>399</v>
      </c>
      <c r="D37" s="23" t="s">
        <v>449</v>
      </c>
      <c r="E37" s="23"/>
      <c r="F37" s="23" t="s">
        <v>301</v>
      </c>
      <c r="G37" s="21" t="s">
        <v>341</v>
      </c>
      <c r="H37" s="23" t="s">
        <v>200</v>
      </c>
      <c r="I37" s="125" t="s">
        <v>387</v>
      </c>
      <c r="J37" s="23"/>
      <c r="K37" s="23"/>
      <c r="L37" s="23"/>
    </row>
    <row r="38" spans="1:12" ht="20">
      <c r="A38" s="23"/>
      <c r="B38" s="120" t="s">
        <v>390</v>
      </c>
      <c r="C38" s="48" t="s">
        <v>400</v>
      </c>
      <c r="D38" s="23" t="s">
        <v>450</v>
      </c>
      <c r="E38" s="23"/>
      <c r="F38" s="23" t="s">
        <v>303</v>
      </c>
      <c r="G38" s="21" t="s">
        <v>342</v>
      </c>
      <c r="H38" s="23" t="s">
        <v>200</v>
      </c>
      <c r="I38" s="125" t="s">
        <v>387</v>
      </c>
      <c r="J38" s="23"/>
      <c r="K38" s="23"/>
      <c r="L38" s="23"/>
    </row>
    <row r="39" spans="1:12" ht="20">
      <c r="A39" s="23"/>
      <c r="B39" s="120" t="s">
        <v>390</v>
      </c>
      <c r="C39" s="23" t="s">
        <v>401</v>
      </c>
      <c r="D39" s="23" t="s">
        <v>451</v>
      </c>
      <c r="E39" s="23"/>
      <c r="F39" s="23" t="s">
        <v>305</v>
      </c>
      <c r="G39" s="23" t="s">
        <v>343</v>
      </c>
      <c r="H39" s="23" t="s">
        <v>21</v>
      </c>
      <c r="I39" s="123"/>
      <c r="J39" s="23"/>
      <c r="K39" s="23"/>
      <c r="L39" s="23"/>
    </row>
    <row r="40" spans="1:12" ht="20">
      <c r="A40" s="23"/>
      <c r="B40" s="120" t="s">
        <v>390</v>
      </c>
      <c r="C40" s="23" t="s">
        <v>402</v>
      </c>
      <c r="D40" s="23" t="s">
        <v>452</v>
      </c>
      <c r="E40" s="23"/>
      <c r="F40" s="23" t="s">
        <v>307</v>
      </c>
      <c r="G40" s="23" t="s">
        <v>344</v>
      </c>
      <c r="H40" s="23" t="s">
        <v>200</v>
      </c>
      <c r="I40" s="123" t="s">
        <v>469</v>
      </c>
      <c r="J40" s="23"/>
      <c r="K40" s="23"/>
      <c r="L40" s="23"/>
    </row>
    <row r="41" spans="1:12" ht="20">
      <c r="A41" s="23"/>
      <c r="B41" s="120" t="s">
        <v>390</v>
      </c>
      <c r="C41" s="23" t="s">
        <v>403</v>
      </c>
      <c r="D41" s="23" t="s">
        <v>453</v>
      </c>
      <c r="E41" s="23"/>
      <c r="F41" s="23" t="s">
        <v>309</v>
      </c>
      <c r="G41" s="23" t="s">
        <v>345</v>
      </c>
      <c r="H41" s="23" t="s">
        <v>200</v>
      </c>
      <c r="I41" s="123" t="s">
        <v>475</v>
      </c>
      <c r="J41" s="23"/>
      <c r="K41" s="23"/>
      <c r="L41" s="23"/>
    </row>
    <row r="42" spans="1:12" ht="20">
      <c r="A42" s="23"/>
      <c r="B42" s="120" t="s">
        <v>390</v>
      </c>
      <c r="C42" s="23" t="s">
        <v>404</v>
      </c>
      <c r="D42" s="23" t="s">
        <v>454</v>
      </c>
      <c r="E42" s="23"/>
      <c r="F42" s="23" t="s">
        <v>310</v>
      </c>
      <c r="G42" s="23" t="s">
        <v>346</v>
      </c>
      <c r="H42" s="98" t="s">
        <v>21</v>
      </c>
      <c r="I42" s="123"/>
      <c r="J42" s="23"/>
      <c r="K42" s="23"/>
      <c r="L42" s="23"/>
    </row>
    <row r="43" spans="1:12" ht="20">
      <c r="A43" s="23"/>
      <c r="B43" s="120" t="s">
        <v>390</v>
      </c>
      <c r="C43" s="23" t="s">
        <v>405</v>
      </c>
      <c r="D43" s="23" t="s">
        <v>455</v>
      </c>
      <c r="E43" s="23"/>
      <c r="F43" s="23" t="s">
        <v>312</v>
      </c>
      <c r="G43" s="23" t="s">
        <v>347</v>
      </c>
      <c r="H43" s="23" t="s">
        <v>200</v>
      </c>
      <c r="I43" s="123"/>
      <c r="J43" s="23"/>
      <c r="K43" s="23"/>
      <c r="L43" s="23"/>
    </row>
    <row r="44" spans="1:12" ht="20">
      <c r="A44" s="23"/>
      <c r="B44" s="120" t="s">
        <v>390</v>
      </c>
      <c r="C44" s="23" t="s">
        <v>406</v>
      </c>
      <c r="D44" s="23" t="s">
        <v>456</v>
      </c>
      <c r="E44" s="23"/>
      <c r="F44" s="23" t="s">
        <v>314</v>
      </c>
      <c r="G44" s="23" t="s">
        <v>348</v>
      </c>
      <c r="H44" s="23" t="s">
        <v>21</v>
      </c>
      <c r="I44" s="123"/>
      <c r="J44" s="23"/>
      <c r="K44" s="23"/>
      <c r="L44" s="23"/>
    </row>
    <row r="45" spans="1:12" ht="20">
      <c r="A45" s="23"/>
      <c r="B45" s="120" t="s">
        <v>390</v>
      </c>
      <c r="C45" s="23" t="s">
        <v>407</v>
      </c>
      <c r="D45" s="23" t="s">
        <v>457</v>
      </c>
      <c r="E45" s="23"/>
      <c r="F45" s="23" t="s">
        <v>316</v>
      </c>
      <c r="G45" s="23" t="s">
        <v>349</v>
      </c>
      <c r="H45" s="23" t="s">
        <v>21</v>
      </c>
      <c r="I45" s="123"/>
      <c r="J45" s="23"/>
      <c r="K45" s="23"/>
      <c r="L45" s="23"/>
    </row>
    <row r="46" spans="1:12" ht="20">
      <c r="A46" s="23"/>
      <c r="B46" s="120" t="s">
        <v>390</v>
      </c>
      <c r="C46" s="23" t="s">
        <v>408</v>
      </c>
      <c r="D46" s="23" t="s">
        <v>458</v>
      </c>
      <c r="E46" s="23"/>
      <c r="F46" s="23" t="s">
        <v>318</v>
      </c>
      <c r="G46" s="23" t="s">
        <v>350</v>
      </c>
      <c r="H46" s="23" t="s">
        <v>21</v>
      </c>
      <c r="I46" s="123"/>
      <c r="J46" s="23"/>
      <c r="K46" s="23"/>
      <c r="L46" s="23"/>
    </row>
    <row r="47" spans="1:12" ht="20">
      <c r="A47" s="23"/>
      <c r="B47" s="120" t="s">
        <v>390</v>
      </c>
      <c r="C47" s="23" t="s">
        <v>409</v>
      </c>
      <c r="D47" s="23" t="s">
        <v>460</v>
      </c>
      <c r="E47" s="23"/>
      <c r="F47" s="23" t="s">
        <v>320</v>
      </c>
      <c r="G47" s="23" t="s">
        <v>351</v>
      </c>
      <c r="H47" s="23" t="s">
        <v>21</v>
      </c>
      <c r="I47" s="123"/>
      <c r="J47" s="23"/>
      <c r="K47" s="23"/>
      <c r="L47" s="23"/>
    </row>
    <row r="48" spans="1:12" ht="20">
      <c r="A48" s="23"/>
      <c r="B48" s="120" t="s">
        <v>390</v>
      </c>
      <c r="C48" s="23" t="s">
        <v>410</v>
      </c>
      <c r="D48" s="23" t="s">
        <v>459</v>
      </c>
      <c r="E48" s="23"/>
      <c r="F48" s="23" t="s">
        <v>322</v>
      </c>
      <c r="G48" s="23" t="s">
        <v>352</v>
      </c>
      <c r="H48" s="23" t="s">
        <v>200</v>
      </c>
      <c r="I48" s="123" t="s">
        <v>470</v>
      </c>
      <c r="J48" s="23"/>
      <c r="K48" s="23"/>
      <c r="L48" s="23"/>
    </row>
    <row r="49" spans="1:12" ht="20">
      <c r="A49" s="23"/>
      <c r="B49" s="120" t="s">
        <v>390</v>
      </c>
      <c r="C49" s="23" t="s">
        <v>411</v>
      </c>
      <c r="D49" s="23" t="s">
        <v>461</v>
      </c>
      <c r="E49" s="23"/>
      <c r="F49" s="23" t="s">
        <v>333</v>
      </c>
      <c r="G49" s="23" t="s">
        <v>358</v>
      </c>
      <c r="H49" s="23" t="s">
        <v>200</v>
      </c>
      <c r="I49" s="123" t="s">
        <v>471</v>
      </c>
      <c r="J49" s="23"/>
      <c r="K49" s="23"/>
      <c r="L49" s="23"/>
    </row>
    <row r="50" spans="1:12" ht="20">
      <c r="A50" s="23"/>
      <c r="B50" s="120" t="s">
        <v>390</v>
      </c>
      <c r="C50" s="23" t="s">
        <v>412</v>
      </c>
      <c r="D50" s="23" t="s">
        <v>462</v>
      </c>
      <c r="E50" s="23"/>
      <c r="F50" s="23" t="s">
        <v>325</v>
      </c>
      <c r="G50" s="23" t="s">
        <v>353</v>
      </c>
      <c r="H50" s="23" t="s">
        <v>200</v>
      </c>
      <c r="I50" s="123" t="s">
        <v>471</v>
      </c>
      <c r="J50" s="23"/>
      <c r="K50" s="23"/>
      <c r="L50" s="23"/>
    </row>
    <row r="51" spans="1:12" ht="20">
      <c r="A51" s="23"/>
      <c r="B51" s="120" t="s">
        <v>390</v>
      </c>
      <c r="C51" s="23" t="s">
        <v>413</v>
      </c>
      <c r="D51" s="23" t="s">
        <v>463</v>
      </c>
      <c r="E51" s="23"/>
      <c r="F51" s="23" t="s">
        <v>327</v>
      </c>
      <c r="G51" s="23" t="s">
        <v>354</v>
      </c>
      <c r="H51" s="23" t="s">
        <v>200</v>
      </c>
      <c r="I51" s="123" t="s">
        <v>471</v>
      </c>
      <c r="J51" s="23"/>
      <c r="K51" s="23"/>
      <c r="L51" s="23"/>
    </row>
    <row r="52" spans="1:12" ht="20">
      <c r="A52" s="23"/>
      <c r="B52" s="120" t="s">
        <v>390</v>
      </c>
      <c r="C52" s="23" t="s">
        <v>414</v>
      </c>
      <c r="D52" s="23" t="s">
        <v>464</v>
      </c>
      <c r="E52" s="23"/>
      <c r="F52" s="23" t="s">
        <v>329</v>
      </c>
      <c r="G52" s="23" t="s">
        <v>355</v>
      </c>
      <c r="H52" s="23" t="s">
        <v>21</v>
      </c>
      <c r="I52" s="123"/>
      <c r="J52" s="23"/>
      <c r="K52" s="23"/>
      <c r="L52" s="23"/>
    </row>
    <row r="53" spans="1:12" ht="20">
      <c r="A53" s="23"/>
      <c r="B53" s="120" t="s">
        <v>390</v>
      </c>
      <c r="C53" s="23" t="s">
        <v>415</v>
      </c>
      <c r="D53" s="23" t="s">
        <v>465</v>
      </c>
      <c r="E53" s="23"/>
      <c r="F53" s="23" t="s">
        <v>331</v>
      </c>
      <c r="G53" s="23" t="s">
        <v>356</v>
      </c>
      <c r="H53" s="23" t="s">
        <v>21</v>
      </c>
      <c r="I53" s="123"/>
      <c r="J53" s="23"/>
      <c r="K53" s="23"/>
      <c r="L53" s="23"/>
    </row>
    <row r="55" spans="1:12">
      <c r="A55" s="140" t="s">
        <v>516</v>
      </c>
    </row>
    <row r="56" spans="1:12">
      <c r="A56" s="3" t="s">
        <v>282</v>
      </c>
      <c r="C56" s="3" t="s">
        <v>1</v>
      </c>
      <c r="D56" s="3" t="s">
        <v>134</v>
      </c>
      <c r="F56" s="3" t="s">
        <v>2</v>
      </c>
      <c r="G56" s="3" t="s">
        <v>3</v>
      </c>
      <c r="H56" s="6" t="s">
        <v>4</v>
      </c>
      <c r="I56" s="3" t="s">
        <v>5</v>
      </c>
      <c r="J56" s="3" t="s">
        <v>6</v>
      </c>
      <c r="K56" s="6" t="s">
        <v>7</v>
      </c>
    </row>
    <row r="57" spans="1:12" ht="90">
      <c r="A57" s="43" t="s">
        <v>283</v>
      </c>
      <c r="B57" s="45" t="s">
        <v>388</v>
      </c>
      <c r="C57" s="43" t="s">
        <v>135</v>
      </c>
      <c r="D57" s="44" t="s">
        <v>136</v>
      </c>
      <c r="E57" s="43" t="s">
        <v>137</v>
      </c>
      <c r="F57" s="44" t="s">
        <v>11</v>
      </c>
      <c r="G57" s="44" t="s">
        <v>138</v>
      </c>
      <c r="H57" s="43" t="s">
        <v>13</v>
      </c>
      <c r="I57" s="45" t="s">
        <v>14</v>
      </c>
      <c r="J57" s="45" t="s">
        <v>15</v>
      </c>
      <c r="K57" s="46" t="s">
        <v>16</v>
      </c>
      <c r="L57" s="47" t="s">
        <v>139</v>
      </c>
    </row>
    <row r="58" spans="1:12">
      <c r="A58" s="141"/>
      <c r="B58" s="23" t="s">
        <v>530</v>
      </c>
      <c r="C58" s="141" t="s">
        <v>370</v>
      </c>
      <c r="D58" s="21"/>
      <c r="E58" s="141"/>
      <c r="F58" s="21" t="s">
        <v>531</v>
      </c>
      <c r="G58" s="21" t="s">
        <v>532</v>
      </c>
      <c r="H58" s="141" t="s">
        <v>27</v>
      </c>
      <c r="I58" s="23"/>
      <c r="J58" s="23"/>
      <c r="K58" s="142"/>
      <c r="L58" s="129"/>
    </row>
    <row r="59" spans="1:12">
      <c r="A59" s="141"/>
      <c r="B59" s="23" t="s">
        <v>530</v>
      </c>
      <c r="C59" s="141" t="s">
        <v>533</v>
      </c>
      <c r="D59" s="21"/>
      <c r="E59" s="141"/>
      <c r="F59" s="21" t="s">
        <v>533</v>
      </c>
      <c r="G59" s="21" t="s">
        <v>533</v>
      </c>
      <c r="H59" s="141" t="s">
        <v>27</v>
      </c>
      <c r="I59" s="23"/>
      <c r="J59" s="23"/>
      <c r="K59" s="142"/>
      <c r="L59" s="129"/>
    </row>
    <row r="60" spans="1:12">
      <c r="A60" s="141"/>
      <c r="B60" s="23" t="s">
        <v>530</v>
      </c>
      <c r="C60" s="141" t="s">
        <v>534</v>
      </c>
      <c r="D60" s="21"/>
      <c r="E60" s="141"/>
      <c r="F60" s="21" t="s">
        <v>535</v>
      </c>
      <c r="G60" s="21" t="s">
        <v>534</v>
      </c>
      <c r="H60" s="141" t="s">
        <v>27</v>
      </c>
      <c r="I60" s="23" t="s">
        <v>536</v>
      </c>
      <c r="J60" s="23"/>
      <c r="K60" s="142"/>
      <c r="L60" s="129" t="s">
        <v>537</v>
      </c>
    </row>
    <row r="61" spans="1:12">
      <c r="A61" s="141"/>
      <c r="B61" s="23" t="s">
        <v>530</v>
      </c>
      <c r="C61" s="141" t="s">
        <v>538</v>
      </c>
      <c r="D61" s="21"/>
      <c r="E61" s="141"/>
      <c r="F61" s="21" t="s">
        <v>539</v>
      </c>
      <c r="G61" s="21" t="s">
        <v>538</v>
      </c>
      <c r="H61" s="141" t="s">
        <v>27</v>
      </c>
      <c r="I61" s="23" t="s">
        <v>536</v>
      </c>
      <c r="J61" s="23"/>
      <c r="K61" s="142"/>
      <c r="L61" s="129" t="s">
        <v>537</v>
      </c>
    </row>
    <row r="62" spans="1:12">
      <c r="A62" s="141"/>
      <c r="B62" s="23" t="s">
        <v>530</v>
      </c>
      <c r="C62" s="141" t="s">
        <v>540</v>
      </c>
      <c r="D62" s="21"/>
      <c r="E62" s="141"/>
      <c r="F62" s="21" t="s">
        <v>541</v>
      </c>
      <c r="G62" s="21" t="s">
        <v>540</v>
      </c>
      <c r="H62" s="141" t="s">
        <v>27</v>
      </c>
      <c r="I62" s="23"/>
      <c r="J62" s="23"/>
      <c r="K62" s="142"/>
      <c r="L62" s="129" t="s">
        <v>537</v>
      </c>
    </row>
    <row r="63" spans="1:12">
      <c r="A63" s="141"/>
      <c r="B63" s="23" t="s">
        <v>530</v>
      </c>
      <c r="C63" s="141" t="s">
        <v>542</v>
      </c>
      <c r="D63" s="21"/>
      <c r="E63" s="141"/>
      <c r="F63" s="21" t="s">
        <v>543</v>
      </c>
      <c r="G63" s="21" t="s">
        <v>543</v>
      </c>
      <c r="H63" s="141" t="s">
        <v>27</v>
      </c>
      <c r="I63" s="23"/>
      <c r="J63" s="23"/>
      <c r="K63" s="142"/>
      <c r="L63" s="129" t="s">
        <v>537</v>
      </c>
    </row>
    <row r="64" spans="1:12" ht="20">
      <c r="A64" s="95"/>
      <c r="B64" s="120" t="s">
        <v>389</v>
      </c>
      <c r="C64" s="48" t="s">
        <v>544</v>
      </c>
      <c r="D64" s="23" t="s">
        <v>285</v>
      </c>
      <c r="E64" s="23"/>
      <c r="F64" s="23" t="s">
        <v>150</v>
      </c>
      <c r="G64" s="21" t="s">
        <v>334</v>
      </c>
      <c r="H64" s="23" t="s">
        <v>21</v>
      </c>
      <c r="I64" s="122"/>
      <c r="J64" s="23"/>
      <c r="K64" s="50"/>
      <c r="L64" s="23"/>
    </row>
    <row r="65" spans="1:13" ht="20">
      <c r="A65" s="95"/>
      <c r="B65" s="120" t="s">
        <v>389</v>
      </c>
      <c r="C65" s="48" t="s">
        <v>417</v>
      </c>
      <c r="D65" s="23" t="s">
        <v>286</v>
      </c>
      <c r="E65" s="23"/>
      <c r="F65" s="23" t="s">
        <v>287</v>
      </c>
      <c r="G65" s="21" t="s">
        <v>335</v>
      </c>
      <c r="H65" s="23" t="s">
        <v>21</v>
      </c>
      <c r="I65" s="123"/>
      <c r="J65" s="23"/>
      <c r="K65" s="50"/>
      <c r="L65" s="23"/>
    </row>
    <row r="66" spans="1:13" ht="20">
      <c r="A66" s="95"/>
      <c r="B66" s="120" t="s">
        <v>389</v>
      </c>
      <c r="C66" s="23" t="s">
        <v>418</v>
      </c>
      <c r="D66" s="23" t="s">
        <v>288</v>
      </c>
      <c r="E66" s="23"/>
      <c r="F66" s="23" t="s">
        <v>289</v>
      </c>
      <c r="G66" s="23" t="s">
        <v>336</v>
      </c>
      <c r="H66" s="23" t="s">
        <v>21</v>
      </c>
      <c r="I66" s="124"/>
      <c r="J66" s="23"/>
      <c r="K66" s="50"/>
      <c r="L66" s="23"/>
    </row>
    <row r="67" spans="1:13" ht="20">
      <c r="A67" s="95"/>
      <c r="B67" s="120" t="s">
        <v>389</v>
      </c>
      <c r="C67" s="48" t="s">
        <v>419</v>
      </c>
      <c r="D67" s="23" t="s">
        <v>290</v>
      </c>
      <c r="E67" s="23"/>
      <c r="F67" s="23" t="s">
        <v>291</v>
      </c>
      <c r="G67" s="21" t="s">
        <v>337</v>
      </c>
      <c r="H67" s="23" t="s">
        <v>21</v>
      </c>
      <c r="I67" s="123"/>
      <c r="J67" s="23"/>
      <c r="K67" s="50"/>
      <c r="L67" s="23"/>
    </row>
    <row r="68" spans="1:13" ht="20">
      <c r="A68" s="95"/>
      <c r="B68" s="120" t="s">
        <v>389</v>
      </c>
      <c r="C68" s="48" t="s">
        <v>420</v>
      </c>
      <c r="D68" s="23" t="s">
        <v>292</v>
      </c>
      <c r="E68" s="23"/>
      <c r="F68" s="23" t="s">
        <v>293</v>
      </c>
      <c r="G68" s="21" t="s">
        <v>357</v>
      </c>
      <c r="H68" s="23" t="s">
        <v>200</v>
      </c>
      <c r="I68" s="123" t="s">
        <v>359</v>
      </c>
      <c r="J68" s="23"/>
      <c r="K68" s="50"/>
      <c r="L68" s="23"/>
    </row>
    <row r="69" spans="1:13" ht="20">
      <c r="A69" s="95"/>
      <c r="B69" s="120" t="s">
        <v>389</v>
      </c>
      <c r="C69" s="48" t="s">
        <v>421</v>
      </c>
      <c r="D69" s="23" t="s">
        <v>294</v>
      </c>
      <c r="E69" s="23"/>
      <c r="F69" s="23" t="s">
        <v>295</v>
      </c>
      <c r="G69" s="21" t="s">
        <v>338</v>
      </c>
      <c r="H69" s="23" t="s">
        <v>21</v>
      </c>
      <c r="I69" s="125"/>
      <c r="J69" s="23"/>
      <c r="K69" s="50"/>
      <c r="L69" s="23"/>
    </row>
    <row r="70" spans="1:13" ht="20">
      <c r="A70" s="95"/>
      <c r="B70" s="120" t="s">
        <v>389</v>
      </c>
      <c r="C70" s="103" t="s">
        <v>422</v>
      </c>
      <c r="D70" s="38" t="s">
        <v>296</v>
      </c>
      <c r="E70" s="38"/>
      <c r="F70" s="38" t="s">
        <v>297</v>
      </c>
      <c r="G70" s="38" t="s">
        <v>339</v>
      </c>
      <c r="H70" s="38" t="s">
        <v>21</v>
      </c>
      <c r="I70" s="126"/>
      <c r="J70" s="38"/>
      <c r="K70" s="104"/>
      <c r="L70" s="23"/>
    </row>
    <row r="71" spans="1:13" ht="20">
      <c r="A71" s="100"/>
      <c r="B71" s="120" t="s">
        <v>389</v>
      </c>
      <c r="C71" s="48" t="s">
        <v>423</v>
      </c>
      <c r="D71" s="23" t="s">
        <v>298</v>
      </c>
      <c r="E71" s="23"/>
      <c r="F71" s="23" t="s">
        <v>299</v>
      </c>
      <c r="G71" s="21" t="s">
        <v>340</v>
      </c>
      <c r="H71" s="23" t="s">
        <v>200</v>
      </c>
      <c r="I71" s="125" t="s">
        <v>387</v>
      </c>
      <c r="J71" s="23"/>
      <c r="K71" s="50"/>
      <c r="L71" s="101"/>
    </row>
    <row r="72" spans="1:13" ht="20">
      <c r="A72" s="100"/>
      <c r="B72" s="120" t="s">
        <v>389</v>
      </c>
      <c r="C72" s="48" t="s">
        <v>424</v>
      </c>
      <c r="D72" s="23" t="s">
        <v>300</v>
      </c>
      <c r="E72" s="23"/>
      <c r="F72" s="23" t="s">
        <v>301</v>
      </c>
      <c r="G72" s="21" t="s">
        <v>341</v>
      </c>
      <c r="H72" s="23" t="s">
        <v>200</v>
      </c>
      <c r="I72" s="125" t="s">
        <v>387</v>
      </c>
      <c r="J72" s="23"/>
      <c r="K72" s="50"/>
      <c r="L72" s="101"/>
    </row>
    <row r="73" spans="1:13" ht="20">
      <c r="A73" s="100"/>
      <c r="B73" s="120" t="s">
        <v>389</v>
      </c>
      <c r="C73" s="48" t="s">
        <v>425</v>
      </c>
      <c r="D73" s="23" t="s">
        <v>302</v>
      </c>
      <c r="E73" s="23"/>
      <c r="F73" s="23" t="s">
        <v>303</v>
      </c>
      <c r="G73" s="21" t="s">
        <v>342</v>
      </c>
      <c r="H73" s="23" t="s">
        <v>200</v>
      </c>
      <c r="I73" s="125" t="s">
        <v>387</v>
      </c>
      <c r="J73" s="23"/>
      <c r="K73" s="50"/>
      <c r="L73" s="102"/>
      <c r="M73" s="6"/>
    </row>
    <row r="74" spans="1:13" ht="20">
      <c r="A74" s="23"/>
      <c r="B74" s="120" t="s">
        <v>389</v>
      </c>
      <c r="C74" s="52" t="s">
        <v>426</v>
      </c>
      <c r="D74" s="52" t="s">
        <v>304</v>
      </c>
      <c r="E74" s="52"/>
      <c r="F74" s="52" t="s">
        <v>305</v>
      </c>
      <c r="G74" s="52" t="s">
        <v>343</v>
      </c>
      <c r="H74" s="52" t="s">
        <v>21</v>
      </c>
      <c r="I74" s="127"/>
      <c r="J74" s="52"/>
      <c r="K74" s="52"/>
      <c r="L74" s="23"/>
    </row>
    <row r="75" spans="1:13" ht="20">
      <c r="A75" s="23"/>
      <c r="B75" s="120" t="s">
        <v>389</v>
      </c>
      <c r="C75" s="23" t="s">
        <v>427</v>
      </c>
      <c r="D75" s="23" t="s">
        <v>306</v>
      </c>
      <c r="E75" s="23"/>
      <c r="F75" s="23" t="s">
        <v>307</v>
      </c>
      <c r="G75" s="23" t="s">
        <v>344</v>
      </c>
      <c r="H75" s="23" t="s">
        <v>200</v>
      </c>
      <c r="I75" s="123" t="s">
        <v>469</v>
      </c>
      <c r="J75" s="23"/>
      <c r="K75" s="23"/>
      <c r="L75" s="23"/>
    </row>
    <row r="76" spans="1:13" ht="20">
      <c r="A76" s="23"/>
      <c r="B76" s="120" t="s">
        <v>389</v>
      </c>
      <c r="C76" s="23" t="s">
        <v>428</v>
      </c>
      <c r="D76" s="23" t="s">
        <v>308</v>
      </c>
      <c r="E76" s="23"/>
      <c r="F76" s="23" t="s">
        <v>309</v>
      </c>
      <c r="G76" s="23" t="s">
        <v>345</v>
      </c>
      <c r="H76" s="23" t="s">
        <v>200</v>
      </c>
      <c r="I76" s="123" t="s">
        <v>475</v>
      </c>
      <c r="J76" s="23"/>
      <c r="K76" s="23"/>
      <c r="L76" s="23"/>
    </row>
    <row r="77" spans="1:13" ht="20">
      <c r="A77" s="23"/>
      <c r="B77" s="120" t="s">
        <v>389</v>
      </c>
      <c r="C77" s="23" t="s">
        <v>429</v>
      </c>
      <c r="D77" s="23" t="s">
        <v>332</v>
      </c>
      <c r="E77" s="23"/>
      <c r="F77" s="23" t="s">
        <v>310</v>
      </c>
      <c r="G77" s="23" t="s">
        <v>346</v>
      </c>
      <c r="H77" s="98" t="s">
        <v>21</v>
      </c>
      <c r="I77" s="123"/>
      <c r="J77" s="23"/>
      <c r="K77" s="23"/>
      <c r="L77" s="23"/>
    </row>
    <row r="78" spans="1:13" ht="20">
      <c r="A78" s="23"/>
      <c r="B78" s="120" t="s">
        <v>389</v>
      </c>
      <c r="C78" s="23" t="s">
        <v>430</v>
      </c>
      <c r="D78" s="23" t="s">
        <v>311</v>
      </c>
      <c r="E78" s="23"/>
      <c r="F78" s="23" t="s">
        <v>312</v>
      </c>
      <c r="G78" s="23" t="s">
        <v>347</v>
      </c>
      <c r="H78" s="23" t="s">
        <v>200</v>
      </c>
      <c r="I78" s="123"/>
      <c r="J78" s="23"/>
      <c r="K78" s="23"/>
      <c r="L78" s="23"/>
    </row>
    <row r="79" spans="1:13" ht="20">
      <c r="A79" s="23"/>
      <c r="B79" s="120" t="s">
        <v>389</v>
      </c>
      <c r="C79" s="23" t="s">
        <v>431</v>
      </c>
      <c r="D79" s="23" t="s">
        <v>313</v>
      </c>
      <c r="E79" s="23"/>
      <c r="F79" s="23" t="s">
        <v>314</v>
      </c>
      <c r="G79" s="23" t="s">
        <v>348</v>
      </c>
      <c r="H79" s="23" t="s">
        <v>21</v>
      </c>
      <c r="I79" s="123"/>
      <c r="J79" s="23"/>
      <c r="K79" s="23"/>
      <c r="L79" s="23"/>
    </row>
    <row r="80" spans="1:13" ht="20">
      <c r="A80" s="23"/>
      <c r="B80" s="120" t="s">
        <v>389</v>
      </c>
      <c r="C80" s="23" t="s">
        <v>432</v>
      </c>
      <c r="D80" s="23" t="s">
        <v>315</v>
      </c>
      <c r="E80" s="23"/>
      <c r="F80" s="23" t="s">
        <v>468</v>
      </c>
      <c r="G80" s="23" t="s">
        <v>349</v>
      </c>
      <c r="H80" s="23" t="s">
        <v>21</v>
      </c>
      <c r="I80" s="123"/>
      <c r="J80" s="23"/>
      <c r="K80" s="23"/>
      <c r="L80" s="23"/>
    </row>
    <row r="81" spans="1:12" ht="20">
      <c r="A81" s="23"/>
      <c r="B81" s="120" t="s">
        <v>389</v>
      </c>
      <c r="C81" s="23" t="s">
        <v>433</v>
      </c>
      <c r="D81" s="23" t="s">
        <v>317</v>
      </c>
      <c r="E81" s="23"/>
      <c r="F81" s="23" t="s">
        <v>318</v>
      </c>
      <c r="G81" s="23" t="s">
        <v>350</v>
      </c>
      <c r="H81" s="23" t="s">
        <v>21</v>
      </c>
      <c r="I81" s="123"/>
      <c r="J81" s="23"/>
      <c r="K81" s="23"/>
      <c r="L81" s="23"/>
    </row>
    <row r="82" spans="1:12" ht="20">
      <c r="A82" s="23"/>
      <c r="B82" s="120" t="s">
        <v>389</v>
      </c>
      <c r="C82" s="23" t="s">
        <v>434</v>
      </c>
      <c r="D82" s="23" t="s">
        <v>319</v>
      </c>
      <c r="E82" s="23"/>
      <c r="F82" s="23" t="s">
        <v>320</v>
      </c>
      <c r="G82" s="23" t="s">
        <v>351</v>
      </c>
      <c r="H82" s="23" t="s">
        <v>21</v>
      </c>
      <c r="I82" s="123"/>
      <c r="J82" s="23"/>
      <c r="K82" s="23"/>
      <c r="L82" s="23"/>
    </row>
    <row r="83" spans="1:12" ht="20">
      <c r="A83" s="23"/>
      <c r="B83" s="120" t="s">
        <v>389</v>
      </c>
      <c r="C83" s="23" t="s">
        <v>435</v>
      </c>
      <c r="D83" s="23" t="s">
        <v>321</v>
      </c>
      <c r="E83" s="23"/>
      <c r="F83" s="23" t="s">
        <v>322</v>
      </c>
      <c r="G83" s="23" t="s">
        <v>352</v>
      </c>
      <c r="H83" s="23" t="s">
        <v>200</v>
      </c>
      <c r="I83" s="123" t="s">
        <v>470</v>
      </c>
      <c r="J83" s="23"/>
      <c r="K83" s="23"/>
      <c r="L83" s="23"/>
    </row>
    <row r="84" spans="1:12" ht="20">
      <c r="A84" s="23"/>
      <c r="B84" s="120" t="s">
        <v>389</v>
      </c>
      <c r="C84" s="23" t="s">
        <v>436</v>
      </c>
      <c r="D84" s="23" t="s">
        <v>323</v>
      </c>
      <c r="E84" s="23"/>
      <c r="F84" s="23" t="s">
        <v>333</v>
      </c>
      <c r="G84" s="23" t="s">
        <v>358</v>
      </c>
      <c r="H84" s="23" t="s">
        <v>200</v>
      </c>
      <c r="I84" s="123" t="s">
        <v>471</v>
      </c>
      <c r="J84" s="23"/>
      <c r="K84" s="23"/>
      <c r="L84" s="23"/>
    </row>
    <row r="85" spans="1:12" ht="20">
      <c r="A85" s="23"/>
      <c r="B85" s="120" t="s">
        <v>389</v>
      </c>
      <c r="C85" s="23" t="s">
        <v>437</v>
      </c>
      <c r="D85" s="23" t="s">
        <v>324</v>
      </c>
      <c r="E85" s="23"/>
      <c r="F85" s="23" t="s">
        <v>325</v>
      </c>
      <c r="G85" s="23" t="s">
        <v>353</v>
      </c>
      <c r="H85" s="23" t="s">
        <v>200</v>
      </c>
      <c r="I85" s="123" t="s">
        <v>471</v>
      </c>
      <c r="J85" s="23"/>
      <c r="K85" s="23"/>
      <c r="L85" s="23"/>
    </row>
    <row r="86" spans="1:12" ht="20">
      <c r="A86" s="23"/>
      <c r="B86" s="120" t="s">
        <v>389</v>
      </c>
      <c r="C86" s="23" t="s">
        <v>438</v>
      </c>
      <c r="D86" s="23" t="s">
        <v>326</v>
      </c>
      <c r="E86" s="23"/>
      <c r="F86" s="23" t="s">
        <v>327</v>
      </c>
      <c r="G86" s="23" t="s">
        <v>354</v>
      </c>
      <c r="H86" s="23" t="s">
        <v>200</v>
      </c>
      <c r="I86" s="123" t="s">
        <v>471</v>
      </c>
      <c r="J86" s="23"/>
      <c r="K86" s="23"/>
      <c r="L86" s="23"/>
    </row>
    <row r="87" spans="1:12" ht="20">
      <c r="A87" s="23"/>
      <c r="B87" s="120" t="s">
        <v>389</v>
      </c>
      <c r="C87" s="23" t="s">
        <v>439</v>
      </c>
      <c r="D87" s="23" t="s">
        <v>328</v>
      </c>
      <c r="E87" s="23"/>
      <c r="F87" s="23" t="s">
        <v>329</v>
      </c>
      <c r="G87" s="23" t="s">
        <v>355</v>
      </c>
      <c r="H87" s="23" t="s">
        <v>21</v>
      </c>
      <c r="I87" s="123"/>
      <c r="J87" s="23"/>
      <c r="K87" s="23"/>
      <c r="L87" s="23"/>
    </row>
    <row r="88" spans="1:12" ht="20">
      <c r="A88" s="23"/>
      <c r="B88" s="120" t="s">
        <v>389</v>
      </c>
      <c r="C88" s="23" t="s">
        <v>440</v>
      </c>
      <c r="D88" s="23" t="s">
        <v>330</v>
      </c>
      <c r="E88" s="23"/>
      <c r="F88" s="23" t="s">
        <v>331</v>
      </c>
      <c r="G88" s="23" t="s">
        <v>356</v>
      </c>
      <c r="H88" s="23" t="s">
        <v>21</v>
      </c>
      <c r="I88" s="123"/>
      <c r="J88" s="23"/>
      <c r="K88" s="23"/>
      <c r="L88" s="23"/>
    </row>
    <row r="89" spans="1:12" ht="20">
      <c r="A89" s="38"/>
      <c r="B89" s="121" t="s">
        <v>390</v>
      </c>
      <c r="C89" s="103" t="s">
        <v>391</v>
      </c>
      <c r="D89" s="38" t="s">
        <v>441</v>
      </c>
      <c r="E89" s="38"/>
      <c r="F89" s="38" t="s">
        <v>150</v>
      </c>
      <c r="G89" s="39" t="s">
        <v>334</v>
      </c>
      <c r="H89" s="38" t="s">
        <v>21</v>
      </c>
      <c r="I89" s="128"/>
      <c r="J89" s="38"/>
      <c r="K89" s="38"/>
      <c r="L89" s="38"/>
    </row>
    <row r="90" spans="1:12" ht="20">
      <c r="A90" s="23"/>
      <c r="B90" s="120" t="s">
        <v>390</v>
      </c>
      <c r="C90" s="48" t="s">
        <v>392</v>
      </c>
      <c r="D90" s="23" t="s">
        <v>442</v>
      </c>
      <c r="E90" s="23"/>
      <c r="F90" s="23" t="s">
        <v>287</v>
      </c>
      <c r="G90" s="21" t="s">
        <v>335</v>
      </c>
      <c r="H90" s="23" t="s">
        <v>21</v>
      </c>
      <c r="I90" s="123"/>
      <c r="J90" s="23"/>
      <c r="K90" s="23"/>
      <c r="L90" s="23"/>
    </row>
    <row r="91" spans="1:12" ht="20">
      <c r="A91" s="23"/>
      <c r="B91" s="120" t="s">
        <v>390</v>
      </c>
      <c r="C91" s="23" t="s">
        <v>393</v>
      </c>
      <c r="D91" s="23" t="s">
        <v>443</v>
      </c>
      <c r="E91" s="23"/>
      <c r="F91" s="23" t="s">
        <v>289</v>
      </c>
      <c r="G91" s="23" t="s">
        <v>336</v>
      </c>
      <c r="H91" s="23" t="s">
        <v>21</v>
      </c>
      <c r="I91" s="124"/>
      <c r="J91" s="23"/>
      <c r="K91" s="23"/>
      <c r="L91" s="23"/>
    </row>
    <row r="92" spans="1:12" ht="20">
      <c r="A92" s="23"/>
      <c r="B92" s="120" t="s">
        <v>390</v>
      </c>
      <c r="C92" s="48" t="s">
        <v>394</v>
      </c>
      <c r="D92" s="23" t="s">
        <v>444</v>
      </c>
      <c r="E92" s="23"/>
      <c r="F92" s="23" t="s">
        <v>291</v>
      </c>
      <c r="G92" s="21" t="s">
        <v>337</v>
      </c>
      <c r="H92" s="23" t="s">
        <v>21</v>
      </c>
      <c r="I92" s="123"/>
      <c r="J92" s="23"/>
      <c r="K92" s="23"/>
      <c r="L92" s="23"/>
    </row>
    <row r="93" spans="1:12" ht="20">
      <c r="A93" s="23"/>
      <c r="B93" s="120" t="s">
        <v>390</v>
      </c>
      <c r="C93" s="48" t="s">
        <v>395</v>
      </c>
      <c r="D93" s="23" t="s">
        <v>445</v>
      </c>
      <c r="E93" s="23"/>
      <c r="F93" s="23" t="s">
        <v>293</v>
      </c>
      <c r="G93" s="21" t="s">
        <v>357</v>
      </c>
      <c r="H93" s="23" t="s">
        <v>200</v>
      </c>
      <c r="I93" s="123" t="s">
        <v>359</v>
      </c>
      <c r="J93" s="23"/>
      <c r="K93" s="23"/>
      <c r="L93" s="23"/>
    </row>
    <row r="94" spans="1:12" ht="20">
      <c r="A94" s="23"/>
      <c r="B94" s="120" t="s">
        <v>390</v>
      </c>
      <c r="C94" s="48" t="s">
        <v>396</v>
      </c>
      <c r="D94" s="23" t="s">
        <v>446</v>
      </c>
      <c r="E94" s="23"/>
      <c r="F94" s="23" t="s">
        <v>295</v>
      </c>
      <c r="G94" s="21" t="s">
        <v>338</v>
      </c>
      <c r="H94" s="23" t="s">
        <v>21</v>
      </c>
      <c r="I94" s="125"/>
      <c r="J94" s="23"/>
      <c r="K94" s="23"/>
      <c r="L94" s="23"/>
    </row>
    <row r="95" spans="1:12" ht="20">
      <c r="A95" s="23"/>
      <c r="B95" s="120" t="s">
        <v>390</v>
      </c>
      <c r="C95" s="48" t="s">
        <v>397</v>
      </c>
      <c r="D95" s="23" t="s">
        <v>447</v>
      </c>
      <c r="E95" s="23"/>
      <c r="F95" s="23" t="s">
        <v>297</v>
      </c>
      <c r="G95" s="23" t="s">
        <v>339</v>
      </c>
      <c r="H95" s="23" t="s">
        <v>21</v>
      </c>
      <c r="I95" s="125"/>
      <c r="J95" s="23"/>
      <c r="K95" s="23"/>
      <c r="L95" s="23"/>
    </row>
    <row r="96" spans="1:12" ht="20">
      <c r="A96" s="23"/>
      <c r="B96" s="120" t="s">
        <v>390</v>
      </c>
      <c r="C96" s="48" t="s">
        <v>398</v>
      </c>
      <c r="D96" s="23" t="s">
        <v>448</v>
      </c>
      <c r="E96" s="23"/>
      <c r="F96" s="23" t="s">
        <v>299</v>
      </c>
      <c r="G96" s="21" t="s">
        <v>340</v>
      </c>
      <c r="H96" s="23" t="s">
        <v>200</v>
      </c>
      <c r="I96" s="125" t="s">
        <v>387</v>
      </c>
      <c r="J96" s="23"/>
      <c r="K96" s="23"/>
      <c r="L96" s="23"/>
    </row>
    <row r="97" spans="1:12" ht="20">
      <c r="A97" s="23"/>
      <c r="B97" s="120" t="s">
        <v>390</v>
      </c>
      <c r="C97" s="48" t="s">
        <v>399</v>
      </c>
      <c r="D97" s="23" t="s">
        <v>449</v>
      </c>
      <c r="E97" s="23"/>
      <c r="F97" s="23" t="s">
        <v>301</v>
      </c>
      <c r="G97" s="21" t="s">
        <v>341</v>
      </c>
      <c r="H97" s="23" t="s">
        <v>200</v>
      </c>
      <c r="I97" s="125" t="s">
        <v>387</v>
      </c>
      <c r="J97" s="23"/>
      <c r="K97" s="23"/>
      <c r="L97" s="23"/>
    </row>
    <row r="98" spans="1:12" ht="20">
      <c r="A98" s="23"/>
      <c r="B98" s="120" t="s">
        <v>390</v>
      </c>
      <c r="C98" s="48" t="s">
        <v>400</v>
      </c>
      <c r="D98" s="23" t="s">
        <v>450</v>
      </c>
      <c r="E98" s="23"/>
      <c r="F98" s="23" t="s">
        <v>303</v>
      </c>
      <c r="G98" s="21" t="s">
        <v>342</v>
      </c>
      <c r="H98" s="23" t="s">
        <v>200</v>
      </c>
      <c r="I98" s="125" t="s">
        <v>387</v>
      </c>
      <c r="J98" s="23"/>
      <c r="K98" s="23"/>
      <c r="L98" s="23"/>
    </row>
    <row r="99" spans="1:12" ht="20">
      <c r="A99" s="23"/>
      <c r="B99" s="120" t="s">
        <v>390</v>
      </c>
      <c r="C99" s="23" t="s">
        <v>401</v>
      </c>
      <c r="D99" s="23" t="s">
        <v>451</v>
      </c>
      <c r="E99" s="23"/>
      <c r="F99" s="23" t="s">
        <v>305</v>
      </c>
      <c r="G99" s="23" t="s">
        <v>343</v>
      </c>
      <c r="H99" s="23" t="s">
        <v>21</v>
      </c>
      <c r="I99" s="123"/>
      <c r="J99" s="23"/>
      <c r="K99" s="23"/>
      <c r="L99" s="23"/>
    </row>
    <row r="100" spans="1:12" ht="20">
      <c r="A100" s="23"/>
      <c r="B100" s="120" t="s">
        <v>390</v>
      </c>
      <c r="C100" s="23" t="s">
        <v>402</v>
      </c>
      <c r="D100" s="23" t="s">
        <v>452</v>
      </c>
      <c r="E100" s="23"/>
      <c r="F100" s="23" t="s">
        <v>307</v>
      </c>
      <c r="G100" s="23" t="s">
        <v>344</v>
      </c>
      <c r="H100" s="23" t="s">
        <v>200</v>
      </c>
      <c r="I100" s="123" t="s">
        <v>469</v>
      </c>
      <c r="J100" s="23"/>
      <c r="K100" s="23"/>
      <c r="L100" s="23"/>
    </row>
    <row r="101" spans="1:12" ht="20">
      <c r="A101" s="23"/>
      <c r="B101" s="120" t="s">
        <v>390</v>
      </c>
      <c r="C101" s="23" t="s">
        <v>403</v>
      </c>
      <c r="D101" s="23" t="s">
        <v>453</v>
      </c>
      <c r="E101" s="23"/>
      <c r="F101" s="23" t="s">
        <v>309</v>
      </c>
      <c r="G101" s="23" t="s">
        <v>345</v>
      </c>
      <c r="H101" s="23" t="s">
        <v>200</v>
      </c>
      <c r="I101" s="123" t="s">
        <v>475</v>
      </c>
      <c r="J101" s="23"/>
      <c r="K101" s="23"/>
      <c r="L101" s="23"/>
    </row>
    <row r="102" spans="1:12" ht="20">
      <c r="A102" s="23"/>
      <c r="B102" s="120" t="s">
        <v>390</v>
      </c>
      <c r="C102" s="23" t="s">
        <v>404</v>
      </c>
      <c r="D102" s="23" t="s">
        <v>454</v>
      </c>
      <c r="E102" s="23"/>
      <c r="F102" s="23" t="s">
        <v>310</v>
      </c>
      <c r="G102" s="23" t="s">
        <v>346</v>
      </c>
      <c r="H102" s="98" t="s">
        <v>21</v>
      </c>
      <c r="I102" s="123"/>
      <c r="J102" s="23"/>
      <c r="K102" s="23"/>
      <c r="L102" s="23"/>
    </row>
    <row r="103" spans="1:12" ht="20">
      <c r="A103" s="23"/>
      <c r="B103" s="120" t="s">
        <v>390</v>
      </c>
      <c r="C103" s="23" t="s">
        <v>405</v>
      </c>
      <c r="D103" s="23" t="s">
        <v>455</v>
      </c>
      <c r="E103" s="23"/>
      <c r="F103" s="23" t="s">
        <v>312</v>
      </c>
      <c r="G103" s="23" t="s">
        <v>347</v>
      </c>
      <c r="H103" s="23" t="s">
        <v>200</v>
      </c>
      <c r="I103" s="123"/>
      <c r="J103" s="23"/>
      <c r="K103" s="23"/>
      <c r="L103" s="23"/>
    </row>
    <row r="104" spans="1:12" ht="20">
      <c r="A104" s="23"/>
      <c r="B104" s="120" t="s">
        <v>390</v>
      </c>
      <c r="C104" s="23" t="s">
        <v>406</v>
      </c>
      <c r="D104" s="23" t="s">
        <v>456</v>
      </c>
      <c r="E104" s="23"/>
      <c r="F104" s="23" t="s">
        <v>314</v>
      </c>
      <c r="G104" s="23" t="s">
        <v>348</v>
      </c>
      <c r="H104" s="23" t="s">
        <v>21</v>
      </c>
      <c r="I104" s="123"/>
      <c r="J104" s="23"/>
      <c r="K104" s="23"/>
      <c r="L104" s="23"/>
    </row>
    <row r="105" spans="1:12" ht="20">
      <c r="A105" s="23"/>
      <c r="B105" s="120" t="s">
        <v>390</v>
      </c>
      <c r="C105" s="23" t="s">
        <v>407</v>
      </c>
      <c r="D105" s="23" t="s">
        <v>457</v>
      </c>
      <c r="E105" s="23"/>
      <c r="F105" s="23" t="s">
        <v>316</v>
      </c>
      <c r="G105" s="23" t="s">
        <v>349</v>
      </c>
      <c r="H105" s="23" t="s">
        <v>21</v>
      </c>
      <c r="I105" s="123"/>
      <c r="J105" s="23"/>
      <c r="K105" s="23"/>
      <c r="L105" s="23"/>
    </row>
    <row r="106" spans="1:12" ht="20">
      <c r="A106" s="23"/>
      <c r="B106" s="120" t="s">
        <v>390</v>
      </c>
      <c r="C106" s="23" t="s">
        <v>408</v>
      </c>
      <c r="D106" s="23" t="s">
        <v>458</v>
      </c>
      <c r="E106" s="23"/>
      <c r="F106" s="23" t="s">
        <v>318</v>
      </c>
      <c r="G106" s="23" t="s">
        <v>350</v>
      </c>
      <c r="H106" s="23" t="s">
        <v>21</v>
      </c>
      <c r="I106" s="123"/>
      <c r="J106" s="23"/>
      <c r="K106" s="23"/>
      <c r="L106" s="23"/>
    </row>
    <row r="107" spans="1:12" ht="20">
      <c r="A107" s="23"/>
      <c r="B107" s="120" t="s">
        <v>390</v>
      </c>
      <c r="C107" s="23" t="s">
        <v>409</v>
      </c>
      <c r="D107" s="23" t="s">
        <v>460</v>
      </c>
      <c r="E107" s="23"/>
      <c r="F107" s="23" t="s">
        <v>320</v>
      </c>
      <c r="G107" s="23" t="s">
        <v>351</v>
      </c>
      <c r="H107" s="23" t="s">
        <v>21</v>
      </c>
      <c r="I107" s="123"/>
      <c r="J107" s="23"/>
      <c r="K107" s="23"/>
      <c r="L107" s="23"/>
    </row>
    <row r="108" spans="1:12" ht="20">
      <c r="A108" s="23"/>
      <c r="B108" s="120" t="s">
        <v>390</v>
      </c>
      <c r="C108" s="23" t="s">
        <v>410</v>
      </c>
      <c r="D108" s="23" t="s">
        <v>459</v>
      </c>
      <c r="E108" s="23"/>
      <c r="F108" s="23" t="s">
        <v>322</v>
      </c>
      <c r="G108" s="23" t="s">
        <v>352</v>
      </c>
      <c r="H108" s="23" t="s">
        <v>200</v>
      </c>
      <c r="I108" s="123" t="s">
        <v>470</v>
      </c>
      <c r="J108" s="23"/>
      <c r="K108" s="23"/>
      <c r="L108" s="23"/>
    </row>
    <row r="109" spans="1:12" ht="20">
      <c r="A109" s="23"/>
      <c r="B109" s="120" t="s">
        <v>390</v>
      </c>
      <c r="C109" s="23" t="s">
        <v>411</v>
      </c>
      <c r="D109" s="23" t="s">
        <v>461</v>
      </c>
      <c r="E109" s="23"/>
      <c r="F109" s="23" t="s">
        <v>333</v>
      </c>
      <c r="G109" s="23" t="s">
        <v>358</v>
      </c>
      <c r="H109" s="23" t="s">
        <v>200</v>
      </c>
      <c r="I109" s="123" t="s">
        <v>471</v>
      </c>
      <c r="J109" s="23"/>
      <c r="K109" s="23"/>
      <c r="L109" s="23"/>
    </row>
    <row r="110" spans="1:12" ht="20">
      <c r="A110" s="23"/>
      <c r="B110" s="120" t="s">
        <v>390</v>
      </c>
      <c r="C110" s="23" t="s">
        <v>412</v>
      </c>
      <c r="D110" s="23" t="s">
        <v>462</v>
      </c>
      <c r="E110" s="23"/>
      <c r="F110" s="23" t="s">
        <v>325</v>
      </c>
      <c r="G110" s="23" t="s">
        <v>353</v>
      </c>
      <c r="H110" s="23" t="s">
        <v>200</v>
      </c>
      <c r="I110" s="123" t="s">
        <v>471</v>
      </c>
      <c r="J110" s="23"/>
      <c r="K110" s="23"/>
      <c r="L110" s="23"/>
    </row>
    <row r="111" spans="1:12" ht="20">
      <c r="A111" s="23"/>
      <c r="B111" s="120" t="s">
        <v>390</v>
      </c>
      <c r="C111" s="23" t="s">
        <v>413</v>
      </c>
      <c r="D111" s="23" t="s">
        <v>463</v>
      </c>
      <c r="E111" s="23"/>
      <c r="F111" s="23" t="s">
        <v>327</v>
      </c>
      <c r="G111" s="23" t="s">
        <v>354</v>
      </c>
      <c r="H111" s="23" t="s">
        <v>200</v>
      </c>
      <c r="I111" s="123" t="s">
        <v>471</v>
      </c>
      <c r="J111" s="23"/>
      <c r="K111" s="23"/>
      <c r="L111" s="23"/>
    </row>
    <row r="112" spans="1:12" ht="20">
      <c r="A112" s="23"/>
      <c r="B112" s="120" t="s">
        <v>390</v>
      </c>
      <c r="C112" s="23" t="s">
        <v>414</v>
      </c>
      <c r="D112" s="23" t="s">
        <v>464</v>
      </c>
      <c r="E112" s="23"/>
      <c r="F112" s="23" t="s">
        <v>329</v>
      </c>
      <c r="G112" s="23" t="s">
        <v>355</v>
      </c>
      <c r="H112" s="23" t="s">
        <v>21</v>
      </c>
      <c r="I112" s="123"/>
      <c r="J112" s="23"/>
      <c r="K112" s="23"/>
      <c r="L112" s="23"/>
    </row>
    <row r="113" spans="1:12" ht="20">
      <c r="A113" s="23"/>
      <c r="B113" s="120" t="s">
        <v>390</v>
      </c>
      <c r="C113" s="23" t="s">
        <v>415</v>
      </c>
      <c r="D113" s="23" t="s">
        <v>465</v>
      </c>
      <c r="E113" s="23"/>
      <c r="F113" s="23" t="s">
        <v>331</v>
      </c>
      <c r="G113" s="23" t="s">
        <v>356</v>
      </c>
      <c r="H113" s="23" t="s">
        <v>21</v>
      </c>
      <c r="I113" s="123"/>
      <c r="J113" s="23"/>
      <c r="K113" s="23"/>
      <c r="L113" s="23"/>
    </row>
    <row r="115" spans="1:12">
      <c r="A115" s="140" t="s">
        <v>595</v>
      </c>
    </row>
    <row r="116" spans="1:12">
      <c r="A116" s="3" t="s">
        <v>282</v>
      </c>
      <c r="C116" s="3" t="s">
        <v>1</v>
      </c>
      <c r="D116" s="3" t="s">
        <v>134</v>
      </c>
      <c r="F116" s="3" t="s">
        <v>2</v>
      </c>
      <c r="G116" s="3" t="s">
        <v>3</v>
      </c>
      <c r="H116" s="6" t="s">
        <v>4</v>
      </c>
      <c r="I116" s="3" t="s">
        <v>5</v>
      </c>
      <c r="J116" s="3" t="s">
        <v>6</v>
      </c>
      <c r="K116" s="6" t="s">
        <v>7</v>
      </c>
    </row>
    <row r="117" spans="1:12" ht="90">
      <c r="A117" s="43" t="s">
        <v>283</v>
      </c>
      <c r="B117" s="45" t="s">
        <v>388</v>
      </c>
      <c r="C117" s="43" t="s">
        <v>135</v>
      </c>
      <c r="D117" s="44" t="s">
        <v>136</v>
      </c>
      <c r="E117" s="43" t="s">
        <v>137</v>
      </c>
      <c r="F117" s="44" t="s">
        <v>11</v>
      </c>
      <c r="G117" s="44" t="s">
        <v>138</v>
      </c>
      <c r="H117" s="43" t="s">
        <v>13</v>
      </c>
      <c r="I117" s="45" t="s">
        <v>14</v>
      </c>
      <c r="J117" s="45" t="s">
        <v>15</v>
      </c>
      <c r="K117" s="46" t="s">
        <v>16</v>
      </c>
      <c r="L117" s="47" t="s">
        <v>139</v>
      </c>
    </row>
    <row r="118" spans="1:12">
      <c r="A118" s="141"/>
      <c r="B118" s="23" t="s">
        <v>530</v>
      </c>
      <c r="C118" s="141" t="s">
        <v>370</v>
      </c>
      <c r="D118" s="21"/>
      <c r="E118" s="141"/>
      <c r="F118" s="21" t="s">
        <v>531</v>
      </c>
      <c r="G118" s="21" t="s">
        <v>532</v>
      </c>
      <c r="H118" s="141" t="s">
        <v>27</v>
      </c>
      <c r="I118" s="23"/>
      <c r="J118" s="23"/>
      <c r="K118" s="142"/>
      <c r="L118" s="129"/>
    </row>
    <row r="119" spans="1:12">
      <c r="A119" s="141"/>
      <c r="B119" s="23" t="s">
        <v>530</v>
      </c>
      <c r="C119" s="141" t="s">
        <v>533</v>
      </c>
      <c r="D119" s="21"/>
      <c r="E119" s="141"/>
      <c r="F119" s="21" t="s">
        <v>533</v>
      </c>
      <c r="G119" s="21" t="s">
        <v>533</v>
      </c>
      <c r="H119" s="141" t="s">
        <v>27</v>
      </c>
      <c r="I119" s="23"/>
      <c r="J119" s="23"/>
      <c r="K119" s="142"/>
      <c r="L119" s="129"/>
    </row>
    <row r="120" spans="1:12">
      <c r="A120" s="141"/>
      <c r="B120" s="23" t="s">
        <v>530</v>
      </c>
      <c r="C120" s="141" t="s">
        <v>534</v>
      </c>
      <c r="D120" s="21"/>
      <c r="E120" s="141"/>
      <c r="F120" s="21" t="s">
        <v>535</v>
      </c>
      <c r="G120" s="21" t="s">
        <v>534</v>
      </c>
      <c r="H120" s="141" t="s">
        <v>27</v>
      </c>
      <c r="I120" s="23" t="s">
        <v>536</v>
      </c>
      <c r="J120" s="23"/>
      <c r="K120" s="142"/>
      <c r="L120" s="129" t="s">
        <v>537</v>
      </c>
    </row>
    <row r="121" spans="1:12">
      <c r="A121" s="141"/>
      <c r="B121" s="23" t="s">
        <v>530</v>
      </c>
      <c r="C121" s="141" t="s">
        <v>538</v>
      </c>
      <c r="D121" s="21"/>
      <c r="E121" s="141"/>
      <c r="F121" s="21" t="s">
        <v>539</v>
      </c>
      <c r="G121" s="21" t="s">
        <v>538</v>
      </c>
      <c r="H121" s="141" t="s">
        <v>27</v>
      </c>
      <c r="I121" s="23" t="s">
        <v>536</v>
      </c>
      <c r="J121" s="23"/>
      <c r="K121" s="142"/>
      <c r="L121" s="129" t="s">
        <v>537</v>
      </c>
    </row>
    <row r="122" spans="1:12">
      <c r="A122" s="141"/>
      <c r="B122" s="23" t="s">
        <v>530</v>
      </c>
      <c r="C122" s="141" t="s">
        <v>540</v>
      </c>
      <c r="D122" s="21"/>
      <c r="E122" s="141"/>
      <c r="F122" s="21" t="s">
        <v>541</v>
      </c>
      <c r="G122" s="21" t="s">
        <v>540</v>
      </c>
      <c r="H122" s="141" t="s">
        <v>27</v>
      </c>
      <c r="I122" s="23"/>
      <c r="J122" s="23"/>
      <c r="K122" s="142"/>
      <c r="L122" s="129" t="s">
        <v>537</v>
      </c>
    </row>
    <row r="123" spans="1:12">
      <c r="A123" s="141"/>
      <c r="B123" s="23" t="s">
        <v>530</v>
      </c>
      <c r="C123" s="141" t="s">
        <v>542</v>
      </c>
      <c r="D123" s="21"/>
      <c r="E123" s="141"/>
      <c r="F123" s="21" t="s">
        <v>543</v>
      </c>
      <c r="G123" s="21" t="s">
        <v>543</v>
      </c>
      <c r="H123" s="141" t="s">
        <v>27</v>
      </c>
      <c r="I123" s="23"/>
      <c r="J123" s="23"/>
      <c r="K123" s="142"/>
      <c r="L123" s="129" t="s">
        <v>537</v>
      </c>
    </row>
  </sheetData>
  <phoneticPr fontId="2"/>
  <conditionalFormatting sqref="K4:K13">
    <cfRule type="expression" dxfId="3" priority="3">
      <formula>#REF!=1</formula>
    </cfRule>
    <cfRule type="expression" dxfId="2" priority="4">
      <formula>#REF!=1</formula>
    </cfRule>
  </conditionalFormatting>
  <conditionalFormatting sqref="K64:K73">
    <cfRule type="expression" dxfId="1" priority="1">
      <formula>#REF!=1</formula>
    </cfRule>
    <cfRule type="expression" dxfId="0" priority="2">
      <formula>#REF!=1</formula>
    </cfRule>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3B45F-5141-4774-9CD5-206CB136A49F}">
  <sheetPr>
    <tabColor rgb="FFFFC000"/>
  </sheetPr>
  <dimension ref="A1:I41"/>
  <sheetViews>
    <sheetView topLeftCell="A36" zoomScale="80" zoomScaleNormal="80" workbookViewId="0">
      <selection activeCell="G36" sqref="G36"/>
    </sheetView>
  </sheetViews>
  <sheetFormatPr defaultColWidth="8.83203125" defaultRowHeight="18"/>
  <cols>
    <col min="1" max="1" width="20.58203125" customWidth="1"/>
    <col min="2" max="2" width="5.08203125" customWidth="1"/>
    <col min="3" max="3" width="18.58203125" bestFit="1" customWidth="1"/>
    <col min="4" max="4" width="62.58203125" customWidth="1"/>
    <col min="5" max="5" width="15.08203125" customWidth="1"/>
    <col min="6" max="6" width="61" customWidth="1"/>
  </cols>
  <sheetData>
    <row r="1" spans="1:9">
      <c r="A1" s="140" t="s">
        <v>515</v>
      </c>
    </row>
    <row r="2" spans="1:9" ht="18.75" customHeight="1">
      <c r="A2" s="105" t="s">
        <v>371</v>
      </c>
      <c r="B2" s="106" t="s">
        <v>372</v>
      </c>
      <c r="C2" s="148" t="s">
        <v>373</v>
      </c>
      <c r="D2" s="148"/>
      <c r="E2" s="149"/>
      <c r="F2" s="106" t="s">
        <v>374</v>
      </c>
    </row>
    <row r="3" spans="1:9" ht="33">
      <c r="A3" s="107" t="s">
        <v>375</v>
      </c>
      <c r="B3" s="108" t="s">
        <v>38</v>
      </c>
      <c r="C3" s="150" t="s">
        <v>499</v>
      </c>
      <c r="D3" s="151"/>
      <c r="E3" s="152"/>
      <c r="F3" s="109" t="s">
        <v>386</v>
      </c>
    </row>
    <row r="4" spans="1:9">
      <c r="A4" s="110" t="s">
        <v>376</v>
      </c>
      <c r="B4" s="111" t="s">
        <v>371</v>
      </c>
      <c r="C4" s="112" t="s">
        <v>377</v>
      </c>
      <c r="D4" s="112" t="s">
        <v>378</v>
      </c>
      <c r="E4" s="112" t="s">
        <v>379</v>
      </c>
      <c r="F4" s="113"/>
    </row>
    <row r="5" spans="1:9">
      <c r="A5" s="146" t="s">
        <v>380</v>
      </c>
      <c r="B5" s="111" t="s">
        <v>371</v>
      </c>
      <c r="C5" s="114" t="s">
        <v>496</v>
      </c>
      <c r="D5" s="115" t="s">
        <v>500</v>
      </c>
      <c r="E5" s="115" t="s">
        <v>381</v>
      </c>
      <c r="F5" s="117" t="s">
        <v>502</v>
      </c>
    </row>
    <row r="6" spans="1:9">
      <c r="A6" s="147"/>
      <c r="B6" s="111"/>
      <c r="C6" s="114" t="s">
        <v>496</v>
      </c>
      <c r="D6" s="115" t="s">
        <v>501</v>
      </c>
      <c r="E6" s="115" t="s">
        <v>381</v>
      </c>
      <c r="F6" s="117" t="s">
        <v>503</v>
      </c>
    </row>
    <row r="7" spans="1:9">
      <c r="A7" s="147"/>
      <c r="B7" s="111"/>
      <c r="C7" s="114" t="s">
        <v>497</v>
      </c>
      <c r="D7" s="115" t="s">
        <v>382</v>
      </c>
      <c r="E7" s="115" t="s">
        <v>381</v>
      </c>
      <c r="F7" s="116"/>
    </row>
    <row r="8" spans="1:9" ht="198" customHeight="1">
      <c r="A8" s="147"/>
      <c r="B8" s="111"/>
      <c r="C8" s="117" t="s">
        <v>383</v>
      </c>
      <c r="D8" s="115" t="s">
        <v>504</v>
      </c>
      <c r="E8" s="115" t="s">
        <v>381</v>
      </c>
      <c r="F8" s="117" t="s">
        <v>514</v>
      </c>
    </row>
    <row r="9" spans="1:9" ht="200.25" customHeight="1">
      <c r="A9" s="147"/>
      <c r="B9" s="111"/>
      <c r="C9" s="117" t="s">
        <v>383</v>
      </c>
      <c r="D9" s="115" t="s">
        <v>506</v>
      </c>
      <c r="E9" s="115" t="s">
        <v>381</v>
      </c>
      <c r="F9" s="117" t="s">
        <v>505</v>
      </c>
    </row>
    <row r="10" spans="1:9" ht="18.75" customHeight="1">
      <c r="A10" s="147"/>
      <c r="B10" s="111"/>
      <c r="C10" s="117" t="s">
        <v>383</v>
      </c>
      <c r="D10" s="115" t="s">
        <v>513</v>
      </c>
      <c r="E10" s="115" t="s">
        <v>381</v>
      </c>
      <c r="F10" s="117" t="s">
        <v>511</v>
      </c>
    </row>
    <row r="11" spans="1:9" ht="19.5" customHeight="1">
      <c r="A11" s="147"/>
      <c r="B11" s="111"/>
      <c r="C11" s="117" t="s">
        <v>383</v>
      </c>
      <c r="D11" s="115" t="s">
        <v>512</v>
      </c>
      <c r="E11" s="115" t="s">
        <v>381</v>
      </c>
      <c r="F11" s="117" t="s">
        <v>511</v>
      </c>
    </row>
    <row r="12" spans="1:9" ht="340.5" customHeight="1">
      <c r="A12" s="147"/>
      <c r="B12" s="111"/>
      <c r="C12" s="117" t="s">
        <v>384</v>
      </c>
      <c r="D12" s="115" t="s">
        <v>507</v>
      </c>
      <c r="E12" s="115" t="s">
        <v>381</v>
      </c>
      <c r="F12" s="117" t="s">
        <v>508</v>
      </c>
      <c r="I12" s="139"/>
    </row>
    <row r="13" spans="1:9" ht="284.25" customHeight="1">
      <c r="A13" s="147"/>
      <c r="B13" s="111" t="s">
        <v>371</v>
      </c>
      <c r="C13" s="117" t="s">
        <v>385</v>
      </c>
      <c r="D13" s="115" t="s">
        <v>509</v>
      </c>
      <c r="E13" s="115" t="s">
        <v>381</v>
      </c>
      <c r="F13" s="117" t="s">
        <v>510</v>
      </c>
    </row>
    <row r="15" spans="1:9">
      <c r="A15" s="140" t="s">
        <v>516</v>
      </c>
    </row>
    <row r="16" spans="1:9" ht="20">
      <c r="A16" s="105" t="s">
        <v>371</v>
      </c>
      <c r="B16" s="106" t="s">
        <v>372</v>
      </c>
      <c r="C16" s="148" t="s">
        <v>373</v>
      </c>
      <c r="D16" s="148"/>
      <c r="E16" s="149"/>
      <c r="F16" s="106" t="s">
        <v>374</v>
      </c>
    </row>
    <row r="17" spans="1:6" ht="33">
      <c r="A17" s="107" t="s">
        <v>375</v>
      </c>
      <c r="B17" s="108" t="s">
        <v>38</v>
      </c>
      <c r="C17" s="150" t="s">
        <v>499</v>
      </c>
      <c r="D17" s="151"/>
      <c r="E17" s="152"/>
      <c r="F17" s="109" t="s">
        <v>386</v>
      </c>
    </row>
    <row r="18" spans="1:6">
      <c r="A18" s="110" t="s">
        <v>376</v>
      </c>
      <c r="B18" s="111" t="s">
        <v>371</v>
      </c>
      <c r="C18" s="112" t="s">
        <v>377</v>
      </c>
      <c r="D18" s="112" t="s">
        <v>378</v>
      </c>
      <c r="E18" s="112" t="s">
        <v>379</v>
      </c>
      <c r="F18" s="113"/>
    </row>
    <row r="19" spans="1:6">
      <c r="A19" s="146" t="s">
        <v>380</v>
      </c>
      <c r="B19" s="111" t="s">
        <v>371</v>
      </c>
      <c r="C19" s="114" t="s">
        <v>496</v>
      </c>
      <c r="D19" s="115" t="s">
        <v>500</v>
      </c>
      <c r="E19" s="115" t="s">
        <v>381</v>
      </c>
      <c r="F19" s="117" t="s">
        <v>502</v>
      </c>
    </row>
    <row r="20" spans="1:6" ht="165" customHeight="1">
      <c r="A20" s="147"/>
      <c r="B20" s="111"/>
      <c r="C20" s="114" t="s">
        <v>497</v>
      </c>
      <c r="D20" s="115" t="s">
        <v>382</v>
      </c>
      <c r="E20" s="115" t="s">
        <v>381</v>
      </c>
      <c r="F20" s="116"/>
    </row>
    <row r="21" spans="1:6" ht="298" customHeight="1">
      <c r="A21" s="147"/>
      <c r="B21" s="111"/>
      <c r="C21" s="117" t="s">
        <v>383</v>
      </c>
      <c r="D21" s="115" t="s">
        <v>504</v>
      </c>
      <c r="E21" s="115" t="s">
        <v>381</v>
      </c>
      <c r="F21" s="117" t="s">
        <v>517</v>
      </c>
    </row>
    <row r="22" spans="1:6" ht="246.5" customHeight="1">
      <c r="A22" s="147"/>
      <c r="B22" s="111"/>
      <c r="C22" s="117" t="s">
        <v>383</v>
      </c>
      <c r="D22" s="115" t="s">
        <v>518</v>
      </c>
      <c r="E22" s="115" t="s">
        <v>381</v>
      </c>
      <c r="F22" s="117" t="s">
        <v>505</v>
      </c>
    </row>
    <row r="23" spans="1:6" ht="19.5" customHeight="1">
      <c r="A23" s="147"/>
      <c r="B23" s="111"/>
      <c r="C23" s="117" t="s">
        <v>383</v>
      </c>
      <c r="D23" s="115" t="s">
        <v>519</v>
      </c>
      <c r="E23" s="115"/>
      <c r="F23" s="117" t="s">
        <v>520</v>
      </c>
    </row>
    <row r="24" spans="1:6" ht="59.5" customHeight="1">
      <c r="A24" s="147"/>
      <c r="B24" s="111"/>
      <c r="C24" s="117" t="s">
        <v>383</v>
      </c>
      <c r="D24" s="115" t="s">
        <v>521</v>
      </c>
      <c r="E24" s="115"/>
      <c r="F24" s="117" t="s">
        <v>522</v>
      </c>
    </row>
    <row r="25" spans="1:6">
      <c r="A25" s="147"/>
      <c r="B25" s="111"/>
      <c r="C25" s="117" t="s">
        <v>383</v>
      </c>
      <c r="D25" s="115" t="s">
        <v>513</v>
      </c>
      <c r="E25" s="115" t="s">
        <v>381</v>
      </c>
      <c r="F25" s="117" t="s">
        <v>511</v>
      </c>
    </row>
    <row r="26" spans="1:6">
      <c r="A26" s="147"/>
      <c r="B26" s="111"/>
      <c r="C26" s="117" t="s">
        <v>383</v>
      </c>
      <c r="D26" s="115" t="s">
        <v>512</v>
      </c>
      <c r="E26" s="115" t="s">
        <v>381</v>
      </c>
      <c r="F26" s="117" t="s">
        <v>511</v>
      </c>
    </row>
    <row r="27" spans="1:6" ht="309" customHeight="1">
      <c r="A27" s="147"/>
      <c r="B27" s="111"/>
      <c r="C27" s="117" t="s">
        <v>384</v>
      </c>
      <c r="D27" s="115" t="s">
        <v>523</v>
      </c>
      <c r="E27" s="115" t="s">
        <v>381</v>
      </c>
      <c r="F27" s="117" t="s">
        <v>524</v>
      </c>
    </row>
    <row r="28" spans="1:6" ht="305" customHeight="1">
      <c r="A28" s="147"/>
      <c r="B28" s="111" t="s">
        <v>371</v>
      </c>
      <c r="C28" s="117" t="s">
        <v>385</v>
      </c>
      <c r="D28" s="115" t="s">
        <v>509</v>
      </c>
      <c r="E28" s="115" t="s">
        <v>381</v>
      </c>
      <c r="F28" s="117" t="s">
        <v>525</v>
      </c>
    </row>
    <row r="30" spans="1:6">
      <c r="A30" s="140" t="s">
        <v>595</v>
      </c>
    </row>
    <row r="31" spans="1:6" ht="20">
      <c r="A31" s="105" t="s">
        <v>371</v>
      </c>
      <c r="B31" s="106" t="s">
        <v>372</v>
      </c>
      <c r="C31" s="148" t="s">
        <v>373</v>
      </c>
      <c r="D31" s="148"/>
      <c r="E31" s="149"/>
      <c r="F31" s="106" t="s">
        <v>374</v>
      </c>
    </row>
    <row r="32" spans="1:6" ht="33">
      <c r="A32" s="107" t="s">
        <v>375</v>
      </c>
      <c r="B32" s="108" t="s">
        <v>38</v>
      </c>
      <c r="C32" s="150" t="s">
        <v>499</v>
      </c>
      <c r="D32" s="151"/>
      <c r="E32" s="152"/>
      <c r="F32" s="109" t="s">
        <v>386</v>
      </c>
    </row>
    <row r="33" spans="1:6">
      <c r="A33" s="110" t="s">
        <v>376</v>
      </c>
      <c r="B33" s="111" t="s">
        <v>371</v>
      </c>
      <c r="C33" s="112" t="s">
        <v>377</v>
      </c>
      <c r="D33" s="112" t="s">
        <v>378</v>
      </c>
      <c r="E33" s="112" t="s">
        <v>379</v>
      </c>
      <c r="F33" s="113"/>
    </row>
    <row r="34" spans="1:6">
      <c r="A34" s="146" t="s">
        <v>380</v>
      </c>
      <c r="B34" s="111" t="s">
        <v>371</v>
      </c>
      <c r="C34" s="114" t="s">
        <v>496</v>
      </c>
      <c r="D34" s="115" t="s">
        <v>500</v>
      </c>
      <c r="E34" s="115" t="s">
        <v>381</v>
      </c>
      <c r="F34" s="117" t="s">
        <v>502</v>
      </c>
    </row>
    <row r="35" spans="1:6" ht="89.5" customHeight="1">
      <c r="A35" s="147"/>
      <c r="B35" s="111"/>
      <c r="C35" s="114" t="s">
        <v>497</v>
      </c>
      <c r="D35" s="115" t="s">
        <v>382</v>
      </c>
      <c r="E35" s="115" t="s">
        <v>381</v>
      </c>
      <c r="F35" s="116"/>
    </row>
    <row r="36" spans="1:6" ht="346" customHeight="1">
      <c r="A36" s="147"/>
      <c r="B36" s="111"/>
      <c r="C36" s="117" t="s">
        <v>383</v>
      </c>
      <c r="D36" s="115" t="s">
        <v>504</v>
      </c>
      <c r="E36" s="115" t="s">
        <v>381</v>
      </c>
      <c r="F36" s="117" t="s">
        <v>517</v>
      </c>
    </row>
    <row r="37" spans="1:6" ht="310" customHeight="1">
      <c r="A37" s="147"/>
      <c r="B37" s="111"/>
      <c r="C37" s="117" t="s">
        <v>383</v>
      </c>
      <c r="D37" s="115" t="s">
        <v>518</v>
      </c>
      <c r="E37" s="115" t="s">
        <v>381</v>
      </c>
      <c r="F37" s="117" t="s">
        <v>505</v>
      </c>
    </row>
    <row r="38" spans="1:6">
      <c r="A38" s="147"/>
      <c r="B38" s="111"/>
      <c r="C38" s="117" t="s">
        <v>383</v>
      </c>
      <c r="D38" s="115" t="s">
        <v>519</v>
      </c>
      <c r="E38" s="115"/>
      <c r="F38" s="117" t="s">
        <v>520</v>
      </c>
    </row>
    <row r="39" spans="1:6">
      <c r="A39" s="147"/>
      <c r="B39" s="111"/>
      <c r="C39" s="117" t="s">
        <v>383</v>
      </c>
      <c r="D39" s="115" t="s">
        <v>521</v>
      </c>
      <c r="E39" s="115"/>
      <c r="F39" s="117" t="s">
        <v>522</v>
      </c>
    </row>
    <row r="40" spans="1:6" ht="361" customHeight="1">
      <c r="A40" s="147"/>
      <c r="B40" s="111"/>
      <c r="C40" s="117" t="s">
        <v>384</v>
      </c>
      <c r="D40" s="115" t="s">
        <v>523</v>
      </c>
      <c r="E40" s="115" t="s">
        <v>381</v>
      </c>
      <c r="F40" s="117" t="s">
        <v>524</v>
      </c>
    </row>
    <row r="41" spans="1:6" ht="318.5" customHeight="1">
      <c r="A41" s="147"/>
      <c r="B41" s="111" t="s">
        <v>371</v>
      </c>
      <c r="C41" s="117" t="s">
        <v>385</v>
      </c>
      <c r="D41" s="115" t="s">
        <v>509</v>
      </c>
      <c r="E41" s="115" t="s">
        <v>381</v>
      </c>
      <c r="F41" s="117" t="s">
        <v>525</v>
      </c>
    </row>
  </sheetData>
  <mergeCells count="9">
    <mergeCell ref="A19:A28"/>
    <mergeCell ref="C31:E31"/>
    <mergeCell ref="C32:E32"/>
    <mergeCell ref="A34:A41"/>
    <mergeCell ref="C2:E2"/>
    <mergeCell ref="C3:E3"/>
    <mergeCell ref="A5:A13"/>
    <mergeCell ref="C16:E16"/>
    <mergeCell ref="C17:E17"/>
  </mergeCells>
  <phoneticPr fontId="2"/>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69982-BF10-4FA0-884E-C78FBDBA6829}">
  <dimension ref="A1:H8"/>
  <sheetViews>
    <sheetView zoomScale="75" zoomScaleNormal="75" workbookViewId="0">
      <selection activeCell="H5" sqref="H5"/>
    </sheetView>
  </sheetViews>
  <sheetFormatPr defaultColWidth="9" defaultRowHeight="18"/>
  <cols>
    <col min="1" max="1" width="13.33203125" style="3" customWidth="1"/>
    <col min="2" max="3" width="33.08203125" style="3" customWidth="1"/>
    <col min="4" max="4" width="15.08203125" style="3" bestFit="1" customWidth="1"/>
    <col min="5" max="5" width="13.33203125" style="3" customWidth="1"/>
    <col min="6" max="6" width="5.83203125" style="3" bestFit="1" customWidth="1"/>
    <col min="7" max="7" width="33.08203125" style="3" customWidth="1"/>
    <col min="8" max="8" width="87" style="3" customWidth="1"/>
    <col min="9" max="9" width="44.33203125" style="3" customWidth="1"/>
    <col min="10" max="16384" width="9" style="3"/>
  </cols>
  <sheetData>
    <row r="1" spans="1:8">
      <c r="B1" s="3" t="s">
        <v>1</v>
      </c>
      <c r="C1" s="3" t="s">
        <v>2</v>
      </c>
      <c r="D1" s="6" t="s">
        <v>4</v>
      </c>
      <c r="E1" s="3" t="s">
        <v>5</v>
      </c>
      <c r="F1" s="3" t="s">
        <v>6</v>
      </c>
      <c r="G1" s="6" t="s">
        <v>7</v>
      </c>
    </row>
    <row r="2" spans="1:8" ht="90">
      <c r="A2" s="45" t="s">
        <v>477</v>
      </c>
      <c r="B2" s="43"/>
      <c r="C2" s="44" t="s">
        <v>11</v>
      </c>
      <c r="D2" s="43" t="s">
        <v>13</v>
      </c>
      <c r="E2" s="45" t="s">
        <v>14</v>
      </c>
      <c r="F2" s="45" t="s">
        <v>15</v>
      </c>
      <c r="G2" s="46" t="s">
        <v>16</v>
      </c>
      <c r="H2" s="47" t="s">
        <v>139</v>
      </c>
    </row>
    <row r="3" spans="1:8">
      <c r="A3" s="123" t="s">
        <v>479</v>
      </c>
      <c r="B3" s="23" t="s">
        <v>480</v>
      </c>
      <c r="C3" s="23" t="s">
        <v>485</v>
      </c>
      <c r="D3" s="23" t="s">
        <v>27</v>
      </c>
      <c r="E3" s="123"/>
      <c r="F3" s="23"/>
      <c r="G3" s="23" t="s">
        <v>490</v>
      </c>
      <c r="H3" s="23" t="s">
        <v>492</v>
      </c>
    </row>
    <row r="4" spans="1:8">
      <c r="A4" s="23" t="s">
        <v>478</v>
      </c>
      <c r="B4" s="132" t="s">
        <v>481</v>
      </c>
      <c r="C4" s="23" t="s">
        <v>486</v>
      </c>
      <c r="D4" s="23" t="s">
        <v>27</v>
      </c>
      <c r="E4" s="123"/>
      <c r="F4" s="23"/>
      <c r="G4" s="130" t="s">
        <v>491</v>
      </c>
      <c r="H4" s="23" t="s">
        <v>493</v>
      </c>
    </row>
    <row r="5" spans="1:8">
      <c r="A5" s="23" t="s">
        <v>478</v>
      </c>
      <c r="B5" s="23" t="s">
        <v>482</v>
      </c>
      <c r="C5" s="23" t="s">
        <v>487</v>
      </c>
      <c r="D5" s="23" t="s">
        <v>27</v>
      </c>
      <c r="E5" s="123"/>
      <c r="F5" s="23"/>
      <c r="G5" s="130" t="s">
        <v>491</v>
      </c>
      <c r="H5" s="23"/>
    </row>
    <row r="6" spans="1:8">
      <c r="A6" s="23" t="s">
        <v>526</v>
      </c>
      <c r="B6" s="23" t="s">
        <v>483</v>
      </c>
      <c r="C6" s="129" t="s">
        <v>488</v>
      </c>
      <c r="D6" s="23" t="s">
        <v>27</v>
      </c>
      <c r="E6" s="123"/>
      <c r="F6" s="23"/>
      <c r="G6" s="130" t="s">
        <v>491</v>
      </c>
      <c r="H6" s="23" t="s">
        <v>494</v>
      </c>
    </row>
    <row r="7" spans="1:8">
      <c r="A7" s="23" t="s">
        <v>526</v>
      </c>
      <c r="B7" s="23" t="s">
        <v>484</v>
      </c>
      <c r="C7" s="23" t="s">
        <v>489</v>
      </c>
      <c r="D7" s="23" t="s">
        <v>27</v>
      </c>
      <c r="E7" s="123"/>
      <c r="F7" s="23"/>
      <c r="G7" s="131" t="s">
        <v>498</v>
      </c>
      <c r="H7" s="23"/>
    </row>
    <row r="8" spans="1:8" ht="36">
      <c r="A8" s="23" t="s">
        <v>526</v>
      </c>
      <c r="B8" s="23" t="s">
        <v>370</v>
      </c>
      <c r="C8" s="23" t="s">
        <v>527</v>
      </c>
      <c r="D8" s="23" t="s">
        <v>21</v>
      </c>
      <c r="E8" s="123"/>
      <c r="F8" s="23"/>
      <c r="G8" s="23" t="s">
        <v>490</v>
      </c>
      <c r="H8" s="129" t="s">
        <v>528</v>
      </c>
    </row>
  </sheetData>
  <phoneticPr fontId="2"/>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29696-9033-46DD-B7F7-80254D8B476E}">
  <dimension ref="B2:G58"/>
  <sheetViews>
    <sheetView tabSelected="1" topLeftCell="C1" zoomScaleNormal="100" workbookViewId="0">
      <selection activeCell="E2" sqref="E2"/>
    </sheetView>
  </sheetViews>
  <sheetFormatPr defaultColWidth="9" defaultRowHeight="16.5"/>
  <cols>
    <col min="1" max="1" width="9" style="74"/>
    <col min="2" max="3" width="14" style="74" bestFit="1" customWidth="1"/>
    <col min="4" max="4" width="40.58203125" style="74" bestFit="1" customWidth="1"/>
    <col min="5" max="5" width="97.58203125" style="74" bestFit="1" customWidth="1"/>
    <col min="6" max="6" width="5.08203125" style="75" bestFit="1" customWidth="1"/>
    <col min="7" max="7" width="64.33203125" style="75" bestFit="1" customWidth="1"/>
    <col min="8" max="16384" width="9" style="74"/>
  </cols>
  <sheetData>
    <row r="2" spans="2:7" s="62" customFormat="1" ht="18.75" customHeight="1">
      <c r="B2" s="62" t="s">
        <v>264</v>
      </c>
      <c r="C2" s="62" t="s">
        <v>265</v>
      </c>
      <c r="F2" s="63"/>
      <c r="G2" s="63"/>
    </row>
    <row r="3" spans="2:7" s="64" customFormat="1" ht="18.75" customHeight="1">
      <c r="F3" s="65"/>
      <c r="G3" s="65"/>
    </row>
    <row r="4" spans="2:7" s="64" customFormat="1" ht="18.75" customHeight="1">
      <c r="B4" s="66" t="s">
        <v>266</v>
      </c>
      <c r="C4" s="66" t="s">
        <v>267</v>
      </c>
      <c r="D4" s="66" t="s">
        <v>268</v>
      </c>
      <c r="E4" s="67" t="s">
        <v>269</v>
      </c>
      <c r="F4" s="67" t="s">
        <v>270</v>
      </c>
    </row>
    <row r="5" spans="2:7" s="64" customFormat="1" ht="18.75" customHeight="1">
      <c r="B5" s="68">
        <v>46203</v>
      </c>
      <c r="C5" s="69" t="s">
        <v>529</v>
      </c>
      <c r="D5" s="69"/>
      <c r="E5" s="70" t="s">
        <v>271</v>
      </c>
      <c r="F5" s="69"/>
    </row>
    <row r="6" spans="2:7" s="64" customFormat="1" ht="18.75" customHeight="1">
      <c r="B6" s="72"/>
      <c r="C6" s="69"/>
      <c r="D6" s="69"/>
      <c r="E6" s="70"/>
      <c r="F6" s="71"/>
    </row>
    <row r="7" spans="2:7" s="64" customFormat="1" ht="18.75" customHeight="1">
      <c r="B7" s="72"/>
      <c r="C7" s="69"/>
      <c r="D7" s="69"/>
      <c r="E7" s="70"/>
      <c r="F7" s="71"/>
    </row>
    <row r="8" spans="2:7" s="64" customFormat="1" ht="18.75" customHeight="1">
      <c r="B8" s="72"/>
      <c r="C8" s="69"/>
      <c r="D8" s="69"/>
      <c r="E8" s="73"/>
      <c r="F8" s="71"/>
    </row>
    <row r="9" spans="2:7" s="64" customFormat="1" ht="18.75" customHeight="1">
      <c r="B9" s="68"/>
      <c r="C9" s="69"/>
      <c r="D9" s="69"/>
      <c r="E9" s="70"/>
      <c r="F9" s="73"/>
    </row>
    <row r="10" spans="2:7" s="64" customFormat="1" ht="18.75" customHeight="1">
      <c r="B10" s="68"/>
      <c r="C10" s="69"/>
      <c r="D10" s="69"/>
      <c r="E10" s="70"/>
      <c r="F10" s="71"/>
    </row>
    <row r="11" spans="2:7" s="64" customFormat="1" ht="18.75" customHeight="1">
      <c r="B11" s="68"/>
      <c r="C11" s="69"/>
      <c r="D11" s="69"/>
      <c r="E11" s="70"/>
      <c r="F11" s="73"/>
    </row>
    <row r="12" spans="2:7" s="64" customFormat="1" ht="18.75" customHeight="1">
      <c r="B12" s="68"/>
      <c r="C12" s="69"/>
      <c r="D12" s="69"/>
      <c r="E12" s="70"/>
      <c r="F12" s="73"/>
    </row>
    <row r="13" spans="2:7" s="64" customFormat="1" ht="18.75" customHeight="1">
      <c r="B13" s="68"/>
      <c r="C13" s="69"/>
      <c r="D13" s="69"/>
      <c r="E13" s="70"/>
      <c r="F13" s="73"/>
    </row>
    <row r="14" spans="2:7" s="64" customFormat="1" ht="18.75" customHeight="1">
      <c r="B14" s="68"/>
      <c r="C14" s="69"/>
      <c r="D14" s="69"/>
      <c r="E14" s="70"/>
      <c r="F14" s="70"/>
    </row>
    <row r="15" spans="2:7" s="64" customFormat="1" ht="18.75" customHeight="1">
      <c r="B15" s="68"/>
      <c r="C15" s="69"/>
      <c r="D15" s="69"/>
      <c r="E15" s="70"/>
      <c r="F15" s="70"/>
    </row>
    <row r="16" spans="2:7" s="64" customFormat="1" ht="18.75" customHeight="1">
      <c r="B16" s="68"/>
      <c r="C16" s="69"/>
      <c r="D16" s="69"/>
      <c r="E16" s="70"/>
      <c r="F16" s="70"/>
    </row>
    <row r="17" spans="2:6" s="64" customFormat="1" ht="18.75" customHeight="1">
      <c r="B17" s="68"/>
      <c r="C17" s="69"/>
      <c r="D17" s="69"/>
      <c r="E17" s="70"/>
      <c r="F17" s="70"/>
    </row>
    <row r="18" spans="2:6" s="64" customFormat="1" ht="18.75" customHeight="1">
      <c r="B18" s="68"/>
      <c r="C18" s="69"/>
      <c r="D18" s="69"/>
      <c r="E18" s="70"/>
      <c r="F18" s="70"/>
    </row>
    <row r="19" spans="2:6" s="64" customFormat="1" ht="18.75" customHeight="1">
      <c r="B19" s="68"/>
      <c r="C19" s="69"/>
      <c r="D19" s="69"/>
      <c r="E19" s="70"/>
      <c r="F19" s="70"/>
    </row>
    <row r="20" spans="2:6" s="64" customFormat="1" ht="18.75" customHeight="1">
      <c r="B20" s="68"/>
      <c r="C20" s="69"/>
      <c r="D20" s="69"/>
      <c r="E20" s="70"/>
      <c r="F20" s="70"/>
    </row>
    <row r="21" spans="2:6" s="64" customFormat="1" ht="18.75" customHeight="1">
      <c r="B21" s="71"/>
      <c r="C21" s="69"/>
      <c r="D21" s="69"/>
      <c r="E21" s="70"/>
      <c r="F21" s="70"/>
    </row>
    <row r="22" spans="2:6" s="64" customFormat="1" ht="18.75" customHeight="1">
      <c r="B22" s="71"/>
      <c r="C22" s="69"/>
      <c r="D22" s="69"/>
      <c r="E22" s="70"/>
      <c r="F22" s="70"/>
    </row>
    <row r="23" spans="2:6" s="64" customFormat="1" ht="18.75" customHeight="1">
      <c r="B23" s="71"/>
      <c r="C23" s="69"/>
      <c r="D23" s="69"/>
      <c r="E23" s="70"/>
      <c r="F23" s="70"/>
    </row>
    <row r="24" spans="2:6" s="64" customFormat="1" ht="18.75" customHeight="1">
      <c r="B24" s="71"/>
      <c r="C24" s="69"/>
      <c r="D24" s="69"/>
      <c r="E24" s="70"/>
      <c r="F24" s="70"/>
    </row>
    <row r="25" spans="2:6" s="64" customFormat="1" ht="18.75" customHeight="1">
      <c r="B25" s="71"/>
      <c r="C25" s="69"/>
      <c r="D25" s="69"/>
      <c r="E25" s="70"/>
      <c r="F25" s="70"/>
    </row>
    <row r="26" spans="2:6" s="64" customFormat="1" ht="18.75" customHeight="1">
      <c r="B26" s="71"/>
      <c r="C26" s="69"/>
      <c r="D26" s="69"/>
      <c r="E26" s="70"/>
      <c r="F26" s="70"/>
    </row>
    <row r="27" spans="2:6" s="64" customFormat="1" ht="18.75" customHeight="1">
      <c r="B27" s="71"/>
      <c r="C27" s="69"/>
      <c r="D27" s="69"/>
      <c r="E27" s="70"/>
      <c r="F27" s="70"/>
    </row>
    <row r="28" spans="2:6" s="64" customFormat="1" ht="18.75" customHeight="1">
      <c r="B28" s="71"/>
      <c r="C28" s="69"/>
      <c r="D28" s="69"/>
      <c r="E28" s="70"/>
      <c r="F28" s="70"/>
    </row>
    <row r="29" spans="2:6" s="64" customFormat="1" ht="18.75" customHeight="1">
      <c r="B29" s="71"/>
      <c r="C29" s="69"/>
      <c r="D29" s="69"/>
      <c r="E29" s="70"/>
      <c r="F29" s="70"/>
    </row>
    <row r="30" spans="2:6" s="64" customFormat="1" ht="18.75" customHeight="1">
      <c r="B30" s="71"/>
      <c r="C30" s="69"/>
      <c r="D30" s="69"/>
      <c r="E30" s="70"/>
      <c r="F30" s="70"/>
    </row>
    <row r="31" spans="2:6" s="64" customFormat="1" ht="18.75" customHeight="1">
      <c r="B31" s="71"/>
      <c r="C31" s="69"/>
      <c r="D31" s="69"/>
      <c r="E31" s="70"/>
      <c r="F31" s="70"/>
    </row>
    <row r="32" spans="2:6" s="64" customFormat="1" ht="18.75" customHeight="1">
      <c r="B32" s="71"/>
      <c r="C32" s="69"/>
      <c r="D32" s="69"/>
      <c r="E32" s="70"/>
      <c r="F32" s="70"/>
    </row>
    <row r="33" spans="2:6" s="64" customFormat="1" ht="18.75" customHeight="1">
      <c r="B33" s="71"/>
      <c r="C33" s="69"/>
      <c r="D33" s="69"/>
      <c r="E33" s="70"/>
      <c r="F33" s="70"/>
    </row>
    <row r="34" spans="2:6" s="64" customFormat="1" ht="18.75" customHeight="1">
      <c r="B34" s="71"/>
      <c r="C34" s="69"/>
      <c r="D34" s="69"/>
      <c r="E34" s="70"/>
      <c r="F34" s="70"/>
    </row>
    <row r="35" spans="2:6" s="64" customFormat="1" ht="18.75" customHeight="1">
      <c r="B35" s="71"/>
      <c r="C35" s="69"/>
      <c r="D35" s="69"/>
      <c r="E35" s="70"/>
      <c r="F35" s="70"/>
    </row>
    <row r="36" spans="2:6" s="64" customFormat="1" ht="18.75" customHeight="1">
      <c r="B36" s="71"/>
      <c r="C36" s="69"/>
      <c r="D36" s="69"/>
      <c r="E36" s="70"/>
      <c r="F36" s="70"/>
    </row>
    <row r="37" spans="2:6" s="64" customFormat="1" ht="18.75" customHeight="1">
      <c r="B37" s="71"/>
      <c r="C37" s="69"/>
      <c r="D37" s="69"/>
      <c r="E37" s="70"/>
      <c r="F37" s="70"/>
    </row>
    <row r="38" spans="2:6" s="64" customFormat="1" ht="18.75" customHeight="1">
      <c r="B38" s="71"/>
      <c r="C38" s="69"/>
      <c r="D38" s="69"/>
      <c r="E38" s="70"/>
      <c r="F38" s="70"/>
    </row>
    <row r="39" spans="2:6" s="64" customFormat="1" ht="18.75" customHeight="1">
      <c r="B39" s="71"/>
      <c r="C39" s="69"/>
      <c r="D39" s="69"/>
      <c r="E39" s="70"/>
      <c r="F39" s="70"/>
    </row>
    <row r="40" spans="2:6" s="64" customFormat="1" ht="18.75" customHeight="1">
      <c r="B40" s="71"/>
      <c r="C40" s="69"/>
      <c r="D40" s="69"/>
      <c r="E40" s="70"/>
      <c r="F40" s="70"/>
    </row>
    <row r="41" spans="2:6" s="64" customFormat="1" ht="18.75" customHeight="1">
      <c r="B41" s="71"/>
      <c r="C41" s="69"/>
      <c r="D41" s="69"/>
      <c r="E41" s="70"/>
      <c r="F41" s="70"/>
    </row>
    <row r="42" spans="2:6" s="64" customFormat="1" ht="18.75" customHeight="1">
      <c r="B42" s="71"/>
      <c r="C42" s="69"/>
      <c r="D42" s="69"/>
      <c r="E42" s="70"/>
      <c r="F42" s="70"/>
    </row>
    <row r="43" spans="2:6" s="64" customFormat="1" ht="18.75" customHeight="1">
      <c r="B43" s="71"/>
      <c r="C43" s="69"/>
      <c r="D43" s="69"/>
      <c r="E43" s="70"/>
      <c r="F43" s="70"/>
    </row>
    <row r="44" spans="2:6" s="64" customFormat="1" ht="18.75" customHeight="1">
      <c r="B44" s="71"/>
      <c r="C44" s="69"/>
      <c r="D44" s="69"/>
      <c r="E44" s="70"/>
      <c r="F44" s="70"/>
    </row>
    <row r="45" spans="2:6" s="64" customFormat="1" ht="18.75" customHeight="1">
      <c r="B45" s="71"/>
      <c r="C45" s="69"/>
      <c r="D45" s="69"/>
      <c r="E45" s="70"/>
      <c r="F45" s="70"/>
    </row>
    <row r="46" spans="2:6" s="64" customFormat="1" ht="18.75" customHeight="1">
      <c r="B46" s="71"/>
      <c r="C46" s="69"/>
      <c r="D46" s="69"/>
      <c r="E46" s="70"/>
      <c r="F46" s="70"/>
    </row>
    <row r="47" spans="2:6" s="64" customFormat="1" ht="18.75" customHeight="1">
      <c r="B47" s="71"/>
      <c r="C47" s="69"/>
      <c r="D47" s="69"/>
      <c r="E47" s="70"/>
      <c r="F47" s="70"/>
    </row>
    <row r="48" spans="2:6" s="64" customFormat="1" ht="18.75" customHeight="1">
      <c r="B48" s="71"/>
      <c r="C48" s="69"/>
      <c r="D48" s="69"/>
      <c r="E48" s="70"/>
      <c r="F48" s="70"/>
    </row>
    <row r="49" spans="2:6" s="64" customFormat="1" ht="18.75" customHeight="1">
      <c r="B49" s="71"/>
      <c r="C49" s="69"/>
      <c r="D49" s="69"/>
      <c r="E49" s="70"/>
      <c r="F49" s="70"/>
    </row>
    <row r="50" spans="2:6" s="64" customFormat="1" ht="18.75" customHeight="1">
      <c r="B50" s="71"/>
      <c r="C50" s="69"/>
      <c r="D50" s="69"/>
      <c r="E50" s="70"/>
      <c r="F50" s="70"/>
    </row>
    <row r="51" spans="2:6" s="64" customFormat="1" ht="18.75" customHeight="1">
      <c r="B51" s="71"/>
      <c r="C51" s="69"/>
      <c r="D51" s="69"/>
      <c r="E51" s="70"/>
      <c r="F51" s="70"/>
    </row>
    <row r="52" spans="2:6" s="64" customFormat="1" ht="18.75" customHeight="1">
      <c r="B52" s="71"/>
      <c r="C52" s="69"/>
      <c r="D52" s="69"/>
      <c r="E52" s="70"/>
      <c r="F52" s="70"/>
    </row>
    <row r="53" spans="2:6" s="64" customFormat="1" ht="18.75" customHeight="1">
      <c r="B53" s="71"/>
      <c r="C53" s="69"/>
      <c r="D53" s="69"/>
      <c r="E53" s="70"/>
      <c r="F53" s="70"/>
    </row>
    <row r="54" spans="2:6" s="64" customFormat="1" ht="18.75" customHeight="1">
      <c r="B54" s="71"/>
      <c r="C54" s="69"/>
      <c r="D54" s="69"/>
      <c r="E54" s="70"/>
      <c r="F54" s="70"/>
    </row>
    <row r="55" spans="2:6" s="64" customFormat="1" ht="18.75" customHeight="1">
      <c r="B55" s="71"/>
      <c r="C55" s="69"/>
      <c r="D55" s="69"/>
      <c r="E55" s="70"/>
      <c r="F55" s="70"/>
    </row>
    <row r="56" spans="2:6" s="64" customFormat="1" ht="18.75" customHeight="1">
      <c r="B56" s="69"/>
      <c r="C56" s="69"/>
      <c r="D56" s="69"/>
      <c r="E56" s="70"/>
      <c r="F56" s="70"/>
    </row>
    <row r="57" spans="2:6" s="64" customFormat="1" ht="18.75" customHeight="1">
      <c r="B57" s="69"/>
      <c r="C57" s="69"/>
      <c r="D57" s="69"/>
      <c r="E57" s="70"/>
      <c r="F57" s="70"/>
    </row>
    <row r="58" spans="2:6" s="64" customFormat="1" ht="18.75" customHeight="1">
      <c r="B58" s="69"/>
      <c r="C58" s="69"/>
      <c r="D58" s="69"/>
      <c r="E58" s="70"/>
      <c r="F58" s="70"/>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0ED353C60105F34DABBBF603193D9FD7" ma:contentTypeVersion="8" ma:contentTypeDescription="新しいドキュメントを作成します。" ma:contentTypeScope="" ma:versionID="ff96f1b83903b6ca69e21ae72ce65d29">
  <xsd:schema xmlns:xsd="http://www.w3.org/2001/XMLSchema" xmlns:xs="http://www.w3.org/2001/XMLSchema" xmlns:p="http://schemas.microsoft.com/office/2006/metadata/properties" xmlns:ns2="7e1b7570-88a0-44ee-ab1c-d900d3a9ef2f" xmlns:ns3="69806635-1477-418f-8922-2a2d0bbc39e0" targetNamespace="http://schemas.microsoft.com/office/2006/metadata/properties" ma:root="true" ma:fieldsID="dd34249053b4960b9f5dac26d98b1ad9" ns2:_="" ns3:_="">
    <xsd:import namespace="7e1b7570-88a0-44ee-ab1c-d900d3a9ef2f"/>
    <xsd:import namespace="69806635-1477-418f-8922-2a2d0bbc39e0"/>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e1b7570-88a0-44ee-ab1c-d900d3a9ef2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画像タグ" ma:readOnly="false" ma:fieldId="{5cf76f15-5ced-4ddc-b409-7134ff3c332f}" ma:taxonomyMulti="true" ma:sspId="19fc5150-9405-4c92-b675-a15574d83ce5"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806635-1477-418f-8922-2a2d0bbc39e0"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aee6c4ad-df8f-4506-bf29-55cef1bd293e}" ma:internalName="TaxCatchAll" ma:showField="CatchAllData" ma:web="69806635-1477-418f-8922-2a2d0bbc39e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e1b7570-88a0-44ee-ab1c-d900d3a9ef2f">
      <Terms xmlns="http://schemas.microsoft.com/office/infopath/2007/PartnerControls"/>
    </lcf76f155ced4ddcb4097134ff3c332f>
    <TaxCatchAll xmlns="69806635-1477-418f-8922-2a2d0bbc39e0" xsi:nil="true"/>
  </documentManagement>
</p:properties>
</file>

<file path=customXml/itemProps1.xml><?xml version="1.0" encoding="utf-8"?>
<ds:datastoreItem xmlns:ds="http://schemas.openxmlformats.org/officeDocument/2006/customXml" ds:itemID="{7C04DD24-2E45-4DC0-B69F-E7DC5E36A1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e1b7570-88a0-44ee-ab1c-d900d3a9ef2f"/>
    <ds:schemaRef ds:uri="69806635-1477-418f-8922-2a2d0bbc39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1080EF-91B6-417D-A249-69224D257C51}">
  <ds:schemaRefs>
    <ds:schemaRef ds:uri="http://schemas.microsoft.com/sharepoint/v3/contenttype/forms"/>
  </ds:schemaRefs>
</ds:datastoreItem>
</file>

<file path=customXml/itemProps3.xml><?xml version="1.0" encoding="utf-8"?>
<ds:datastoreItem xmlns:ds="http://schemas.openxmlformats.org/officeDocument/2006/customXml" ds:itemID="{DB043C42-5D59-4A30-92A0-5EA74B604AF5}">
  <ds:schemaRefs>
    <ds:schemaRef ds:uri="http://schemas.microsoft.com/office/2006/metadata/properties"/>
    <ds:schemaRef ds:uri="http://schemas.microsoft.com/office/infopath/2007/PartnerControls"/>
    <ds:schemaRef ds:uri="7e1b7570-88a0-44ee-ab1c-d900d3a9ef2f"/>
    <ds:schemaRef ds:uri="69806635-1477-418f-8922-2a2d0bbc39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要件定義（手入力 メタデータ項目リスト）_bak</vt:lpstr>
      <vt:lpstr>要件定義（構造化 メタデータ項目リスト）_bak</vt:lpstr>
      <vt:lpstr>要件定義（手入力 メタデータ項目リスト）</vt:lpstr>
      <vt:lpstr>要件定義（構造化 メタデータ項目リスト）</vt:lpstr>
      <vt:lpstr>要件定義（構造化詳細）</vt:lpstr>
      <vt:lpstr>要件定義（設定ファイル）</vt:lpstr>
      <vt:lpstr>改版履歴</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nagao</dc:creator>
  <cp:keywords/>
  <dc:description/>
  <cp:lastModifiedBy>基盤 nims</cp:lastModifiedBy>
  <cp:revision/>
  <dcterms:created xsi:type="dcterms:W3CDTF">2015-06-05T18:19:34Z</dcterms:created>
  <dcterms:modified xsi:type="dcterms:W3CDTF">2026-06-30T07:35:42Z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0x0101000ED353C60105F34DABBBF603193D9FD7</vt:lpwstr>
  </property>
  <property fmtid="{D5CDD505-2E9C-101B-9397-08002B2CF9AE}" pid="3" name="MediaServiceImageTags">
    <vt:lpwstr/>
  </property>
</Properties>
</file>